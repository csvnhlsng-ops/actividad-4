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30466393e452210/Biblioteca/U Salle/Aplicaciones I/Actividad 4/datos/"/>
    </mc:Choice>
  </mc:AlternateContent>
  <xr:revisionPtr revIDLastSave="5" documentId="13_ncr:1_{A8F9BD43-4215-4C0C-AFDE-9B8D05A4709A}" xr6:coauthVersionLast="47" xr6:coauthVersionMax="47" xr10:uidLastSave="{D603DEEA-F735-4E70-BB8E-F2962E1042B1}"/>
  <bookViews>
    <workbookView xWindow="26790" yWindow="4035" windowWidth="24195" windowHeight="16860" xr2:uid="{00000000-000D-0000-FFFF-FFFF00000000}"/>
  </bookViews>
  <sheets>
    <sheet name="Hoja1" sheetId="2" r:id="rId1"/>
    <sheet name="Hoja3" sheetId="7" r:id="rId2"/>
  </sheets>
  <definedNames>
    <definedName name="_xlnm._FilterDatabase" localSheetId="0" hidden="1">Hoja1!$A$1:$F$1</definedName>
    <definedName name="_xlnm._FilterDatabase" localSheetId="1" hidden="1">Hoja3!$A$2:$D$2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536" i="2" l="1"/>
  <c r="E540" i="2"/>
  <c r="E696" i="2"/>
  <c r="E847" i="2"/>
  <c r="E1002" i="2"/>
  <c r="E3" i="2"/>
  <c r="E35" i="2"/>
  <c r="E37" i="2"/>
  <c r="E56" i="2"/>
  <c r="E66" i="2"/>
  <c r="E67" i="2"/>
  <c r="E70" i="2"/>
  <c r="E72" i="2"/>
  <c r="E75" i="2"/>
  <c r="E78" i="2"/>
  <c r="E79" i="2"/>
  <c r="E86" i="2"/>
  <c r="E87" i="2"/>
  <c r="E94" i="2"/>
  <c r="E106" i="2"/>
  <c r="E113" i="2"/>
  <c r="E128" i="2"/>
  <c r="E137" i="2"/>
  <c r="E140" i="2"/>
  <c r="E150" i="2"/>
  <c r="E154" i="2"/>
  <c r="E165" i="2"/>
  <c r="E168" i="2"/>
  <c r="E176" i="2"/>
  <c r="E182" i="2"/>
  <c r="E189" i="2"/>
  <c r="E199" i="2"/>
  <c r="E201" i="2"/>
  <c r="E202" i="2"/>
  <c r="E205" i="2"/>
  <c r="E208" i="2"/>
  <c r="E215" i="2"/>
  <c r="E233" i="2"/>
  <c r="E256" i="2"/>
  <c r="E259" i="2"/>
  <c r="E274" i="2"/>
  <c r="E313" i="2"/>
  <c r="E318" i="2"/>
  <c r="E322" i="2"/>
  <c r="E328" i="2"/>
  <c r="E339" i="2"/>
  <c r="E361" i="2"/>
  <c r="E364" i="2"/>
  <c r="E366" i="2"/>
  <c r="E384" i="2"/>
  <c r="E412" i="2"/>
  <c r="E418" i="2"/>
  <c r="E421" i="2"/>
  <c r="E424" i="2"/>
  <c r="E429" i="2"/>
  <c r="E430" i="2"/>
  <c r="E442" i="2"/>
  <c r="E462" i="2"/>
  <c r="E471" i="2"/>
  <c r="E477" i="2"/>
  <c r="E481" i="2"/>
  <c r="E485" i="2"/>
  <c r="E494" i="2"/>
  <c r="E503" i="2"/>
  <c r="E513" i="2"/>
  <c r="E514" i="2"/>
  <c r="E524" i="2"/>
  <c r="E546" i="2"/>
  <c r="E559" i="2"/>
  <c r="E580" i="2"/>
  <c r="E584" i="2"/>
  <c r="E587" i="2"/>
  <c r="E609" i="2"/>
  <c r="E619" i="2"/>
  <c r="E622" i="2"/>
  <c r="E634" i="2"/>
  <c r="E642" i="2"/>
  <c r="E651" i="2"/>
  <c r="E690" i="2"/>
  <c r="E698" i="2"/>
  <c r="E735" i="2"/>
  <c r="E747" i="2"/>
  <c r="E749" i="2"/>
  <c r="E755" i="2"/>
  <c r="E761" i="2"/>
  <c r="E765" i="2"/>
  <c r="E775" i="2"/>
  <c r="E780" i="2"/>
  <c r="E784" i="2"/>
  <c r="E786" i="2"/>
  <c r="E794" i="2"/>
  <c r="E802" i="2"/>
  <c r="E803" i="2"/>
  <c r="E808" i="2"/>
  <c r="E811" i="2"/>
  <c r="E813" i="2"/>
  <c r="E817" i="2"/>
  <c r="E823" i="2"/>
  <c r="E827" i="2"/>
  <c r="E828" i="2"/>
  <c r="E838" i="2"/>
  <c r="E840" i="2"/>
  <c r="E843" i="2"/>
  <c r="E844" i="2"/>
  <c r="E849" i="2"/>
  <c r="E861" i="2"/>
  <c r="E872" i="2"/>
  <c r="E886" i="2"/>
  <c r="E897" i="2"/>
  <c r="E907" i="2"/>
  <c r="E910" i="2"/>
  <c r="E927" i="2"/>
  <c r="E943" i="2"/>
  <c r="E960" i="2"/>
  <c r="E977" i="2"/>
  <c r="E993" i="2"/>
  <c r="E994" i="2"/>
  <c r="E997" i="2"/>
  <c r="E1018" i="2"/>
  <c r="E1047" i="2"/>
  <c r="E1060" i="2"/>
  <c r="E1064" i="2"/>
  <c r="E1069" i="2"/>
  <c r="E1070" i="2"/>
  <c r="E1072" i="2"/>
  <c r="E1088" i="2"/>
  <c r="E1101" i="2"/>
  <c r="E1112" i="2"/>
  <c r="E1115" i="2"/>
  <c r="E4" i="2"/>
  <c r="E109" i="2"/>
  <c r="E406" i="2"/>
  <c r="E928" i="2"/>
  <c r="E999" i="2"/>
  <c r="E5" i="2"/>
  <c r="E726" i="2"/>
  <c r="E119" i="2"/>
  <c r="E193" i="2"/>
  <c r="E198" i="2"/>
  <c r="E398" i="2"/>
  <c r="E491" i="2"/>
  <c r="E558" i="2"/>
  <c r="E573" i="2"/>
  <c r="E577" i="2"/>
  <c r="E672" i="2"/>
  <c r="E709" i="2"/>
  <c r="E720" i="2"/>
  <c r="E721" i="2"/>
  <c r="E739" i="2"/>
  <c r="E777" i="2"/>
  <c r="E805" i="2"/>
  <c r="E806" i="2"/>
  <c r="E862" i="2"/>
  <c r="E884" i="2"/>
  <c r="E954" i="2"/>
  <c r="E966" i="2"/>
  <c r="E1041" i="2"/>
  <c r="E1062" i="2"/>
  <c r="E6" i="2"/>
  <c r="E7" i="2"/>
  <c r="E825" i="2"/>
  <c r="E38" i="2"/>
  <c r="E82" i="2"/>
  <c r="E99" i="2"/>
  <c r="E108" i="2"/>
  <c r="E197" i="2"/>
  <c r="E217" i="2"/>
  <c r="E252" i="2"/>
  <c r="E278" i="2"/>
  <c r="E293" i="2"/>
  <c r="E325" i="2"/>
  <c r="E336" i="2"/>
  <c r="E407" i="2"/>
  <c r="E566" i="2"/>
  <c r="E574" i="2"/>
  <c r="E581" i="2"/>
  <c r="E585" i="2"/>
  <c r="E599" i="2"/>
  <c r="E610" i="2"/>
  <c r="E614" i="2"/>
  <c r="E635" i="2"/>
  <c r="E710" i="2"/>
  <c r="E750" i="2"/>
  <c r="E772" i="2"/>
  <c r="E793" i="2"/>
  <c r="E812" i="2"/>
  <c r="E815" i="2"/>
  <c r="E820" i="2"/>
  <c r="E821" i="2"/>
  <c r="E824" i="2"/>
  <c r="E850" i="2"/>
  <c r="E857" i="2"/>
  <c r="E880" i="2"/>
  <c r="E894" i="2"/>
  <c r="E937" i="2"/>
  <c r="E957" i="2"/>
  <c r="E982" i="2"/>
  <c r="E1020" i="2"/>
  <c r="E1046" i="2"/>
  <c r="E1049" i="2"/>
  <c r="E1089" i="2"/>
  <c r="E1116" i="2"/>
  <c r="E8" i="2"/>
  <c r="E60" i="2"/>
  <c r="E316" i="2"/>
  <c r="E626" i="2"/>
  <c r="E195" i="2"/>
  <c r="E9" i="2"/>
  <c r="E90" i="2"/>
  <c r="E95" i="2"/>
  <c r="E130" i="2"/>
  <c r="E143" i="2"/>
  <c r="E152" i="2"/>
  <c r="E153" i="2"/>
  <c r="E155" i="2"/>
  <c r="E186" i="2"/>
  <c r="E222" i="2"/>
  <c r="E240" i="2"/>
  <c r="E245" i="2"/>
  <c r="E248" i="2"/>
  <c r="E250" i="2"/>
  <c r="E251" i="2"/>
  <c r="E253" i="2"/>
  <c r="E264" i="2"/>
  <c r="E279" i="2"/>
  <c r="E284" i="2"/>
  <c r="E289" i="2"/>
  <c r="E294" i="2"/>
  <c r="E297" i="2"/>
  <c r="E301" i="2"/>
  <c r="E309" i="2"/>
  <c r="E319" i="2"/>
  <c r="E326" i="2"/>
  <c r="E337" i="2"/>
  <c r="E373" i="2"/>
  <c r="E394" i="2"/>
  <c r="E399" i="2"/>
  <c r="E404" i="2"/>
  <c r="E426" i="2"/>
  <c r="E443" i="2"/>
  <c r="E449" i="2"/>
  <c r="E480" i="2"/>
  <c r="E484" i="2"/>
  <c r="E486" i="2"/>
  <c r="E504" i="2"/>
  <c r="E534" i="2"/>
  <c r="E541" i="2"/>
  <c r="E560" i="2"/>
  <c r="E586" i="2"/>
  <c r="E596" i="2"/>
  <c r="E604" i="2"/>
  <c r="E607" i="2"/>
  <c r="E612" i="2"/>
  <c r="E620" i="2"/>
  <c r="E623" i="2"/>
  <c r="E637" i="2"/>
  <c r="E641" i="2"/>
  <c r="E648" i="2"/>
  <c r="E657" i="2"/>
  <c r="E659" i="2"/>
  <c r="E665" i="2"/>
  <c r="E668" i="2"/>
  <c r="E677" i="2"/>
  <c r="E688" i="2"/>
  <c r="E691" i="2"/>
  <c r="E695" i="2"/>
  <c r="E701" i="2"/>
  <c r="E751" i="2"/>
  <c r="E769" i="2"/>
  <c r="E773" i="2"/>
  <c r="E804" i="2"/>
  <c r="E807" i="2"/>
  <c r="E810" i="2"/>
  <c r="E839" i="2"/>
  <c r="E845" i="2"/>
  <c r="E866" i="2"/>
  <c r="E876" i="2"/>
  <c r="E887" i="2"/>
  <c r="E898" i="2"/>
  <c r="E901" i="2"/>
  <c r="E905" i="2"/>
  <c r="E921" i="2"/>
  <c r="E926" i="2"/>
  <c r="E931" i="2"/>
  <c r="E944" i="2"/>
  <c r="E952" i="2"/>
  <c r="E956" i="2"/>
  <c r="E963" i="2"/>
  <c r="E964" i="2"/>
  <c r="E975" i="2"/>
  <c r="E976" i="2"/>
  <c r="E995" i="2"/>
  <c r="E1003" i="2"/>
  <c r="E1010" i="2"/>
  <c r="E1012" i="2"/>
  <c r="E1017" i="2"/>
  <c r="E1021" i="2"/>
  <c r="E1024" i="2"/>
  <c r="E1027" i="2"/>
  <c r="E1030" i="2"/>
  <c r="E1035" i="2"/>
  <c r="E1042" i="2"/>
  <c r="E1044" i="2"/>
  <c r="E1048" i="2"/>
  <c r="E1054" i="2"/>
  <c r="E1073" i="2"/>
  <c r="E1098" i="2"/>
  <c r="E1120" i="2"/>
  <c r="E83" i="2"/>
  <c r="E103" i="2"/>
  <c r="E950" i="2"/>
  <c r="E10" i="2"/>
  <c r="E44" i="2"/>
  <c r="E84" i="2"/>
  <c r="E91" i="2"/>
  <c r="E131" i="2"/>
  <c r="E236" i="2"/>
  <c r="E374" i="2"/>
  <c r="E505" i="2"/>
  <c r="E575" i="2"/>
  <c r="E589" i="2"/>
  <c r="E591" i="2"/>
  <c r="E630" i="2"/>
  <c r="E643" i="2"/>
  <c r="E661" i="2"/>
  <c r="E680" i="2"/>
  <c r="E699" i="2"/>
  <c r="E790" i="2"/>
  <c r="E818" i="2"/>
  <c r="E835" i="2"/>
  <c r="E841" i="2"/>
  <c r="E1079" i="2"/>
  <c r="E1090" i="2"/>
  <c r="E1096" i="2"/>
  <c r="E11" i="2"/>
  <c r="E65" i="2"/>
  <c r="E141" i="2"/>
  <c r="E209" i="2"/>
  <c r="E266" i="2"/>
  <c r="E335" i="2"/>
  <c r="E350" i="2"/>
  <c r="E544" i="2"/>
  <c r="E600" i="2"/>
  <c r="E621" i="2"/>
  <c r="E763" i="2"/>
  <c r="E781" i="2"/>
  <c r="E945" i="2"/>
  <c r="E951" i="2"/>
  <c r="E986" i="2"/>
  <c r="E269" i="2"/>
  <c r="E12" i="2"/>
  <c r="E42" i="2"/>
  <c r="E177" i="2"/>
  <c r="E196" i="2"/>
  <c r="E223" i="2"/>
  <c r="E307" i="2"/>
  <c r="E340" i="2"/>
  <c r="E359" i="2"/>
  <c r="E380" i="2"/>
  <c r="E425" i="2"/>
  <c r="E450" i="2"/>
  <c r="E545" i="2"/>
  <c r="E567" i="2"/>
  <c r="E582" i="2"/>
  <c r="E13" i="2"/>
  <c r="E92" i="2"/>
  <c r="E114" i="2"/>
  <c r="E148" i="2"/>
  <c r="E158" i="2"/>
  <c r="E183" i="2"/>
  <c r="E194" i="2"/>
  <c r="E200" i="2"/>
  <c r="E280" i="2"/>
  <c r="E351" i="2"/>
  <c r="E392" i="2"/>
  <c r="E408" i="2"/>
  <c r="E431" i="2"/>
  <c r="E473" i="2"/>
  <c r="E482" i="2"/>
  <c r="E516" i="2"/>
  <c r="E519" i="2"/>
  <c r="E551" i="2"/>
  <c r="E593" i="2"/>
  <c r="E597" i="2"/>
  <c r="E615" i="2"/>
  <c r="E662" i="2"/>
  <c r="E666" i="2"/>
  <c r="E689" i="2"/>
  <c r="E706" i="2"/>
  <c r="E740" i="2"/>
  <c r="E756" i="2"/>
  <c r="E797" i="2"/>
  <c r="E908" i="2"/>
  <c r="E934" i="2"/>
  <c r="E958" i="2"/>
  <c r="E983" i="2"/>
  <c r="E987" i="2"/>
  <c r="E1013" i="2"/>
  <c r="E1019" i="2"/>
  <c r="E1034" i="2"/>
  <c r="E1039" i="2"/>
  <c r="E1057" i="2"/>
  <c r="E1005" i="2"/>
  <c r="E1086" i="2"/>
  <c r="E386" i="2"/>
  <c r="E1055" i="2"/>
  <c r="E1071" i="2"/>
  <c r="E14" i="2"/>
  <c r="E43" i="2"/>
  <c r="E45" i="2"/>
  <c r="E71" i="2"/>
  <c r="E88" i="2"/>
  <c r="E107" i="2"/>
  <c r="E238" i="2"/>
  <c r="E242" i="2"/>
  <c r="E305" i="2"/>
  <c r="E320" i="2"/>
  <c r="E341" i="2"/>
  <c r="E396" i="2"/>
  <c r="E419" i="2"/>
  <c r="E507" i="2"/>
  <c r="E525" i="2"/>
  <c r="E667" i="2"/>
  <c r="E712" i="2"/>
  <c r="E731" i="2"/>
  <c r="E785" i="2"/>
  <c r="E916" i="2"/>
  <c r="E967" i="2"/>
  <c r="E990" i="2"/>
  <c r="E15" i="2"/>
  <c r="E39" i="2"/>
  <c r="E61" i="2"/>
  <c r="E93" i="2"/>
  <c r="E112" i="2"/>
  <c r="E115" i="2"/>
  <c r="E117" i="2"/>
  <c r="E145" i="2"/>
  <c r="E190" i="2"/>
  <c r="E210" i="2"/>
  <c r="E218" i="2"/>
  <c r="E267" i="2"/>
  <c r="E329" i="2"/>
  <c r="E342" i="2"/>
  <c r="E478" i="2"/>
  <c r="E549" i="2"/>
  <c r="E568" i="2"/>
  <c r="E594" i="2"/>
  <c r="E638" i="2"/>
  <c r="E644" i="2"/>
  <c r="E752" i="2"/>
  <c r="E774" i="2"/>
  <c r="E787" i="2"/>
  <c r="E991" i="2"/>
  <c r="E1007" i="2"/>
  <c r="E1022" i="2"/>
  <c r="E16" i="2"/>
  <c r="E111" i="2"/>
  <c r="E122" i="2"/>
  <c r="E134" i="2"/>
  <c r="E224" i="2"/>
  <c r="E227" i="2"/>
  <c r="E247" i="2"/>
  <c r="E254" i="2"/>
  <c r="E409" i="2"/>
  <c r="E467" i="2"/>
  <c r="E550" i="2"/>
  <c r="E556" i="2"/>
  <c r="E605" i="2"/>
  <c r="E608" i="2"/>
  <c r="E649" i="2"/>
  <c r="E717" i="2"/>
  <c r="E732" i="2"/>
  <c r="E745" i="2"/>
  <c r="E753" i="2"/>
  <c r="E759" i="2"/>
  <c r="E829" i="2"/>
  <c r="E851" i="2"/>
  <c r="E856" i="2"/>
  <c r="E863" i="2"/>
  <c r="E868" i="2"/>
  <c r="E877" i="2"/>
  <c r="E888" i="2"/>
  <c r="E1014" i="2"/>
  <c r="E1025" i="2"/>
  <c r="E1066" i="2"/>
  <c r="E17" i="2"/>
  <c r="E51" i="2"/>
  <c r="E73" i="2"/>
  <c r="E80" i="2"/>
  <c r="E100" i="2"/>
  <c r="E129" i="2"/>
  <c r="E142" i="2"/>
  <c r="E146" i="2"/>
  <c r="E169" i="2"/>
  <c r="E172" i="2"/>
  <c r="E179" i="2"/>
  <c r="E206" i="2"/>
  <c r="E212" i="2"/>
  <c r="E216" i="2"/>
  <c r="E239" i="2"/>
  <c r="E243" i="2"/>
  <c r="E246" i="2"/>
  <c r="E249" i="2"/>
  <c r="E260" i="2"/>
  <c r="E283" i="2"/>
  <c r="E298" i="2"/>
  <c r="E330" i="2"/>
  <c r="E353" i="2"/>
  <c r="E356" i="2"/>
  <c r="E369" i="2"/>
  <c r="E381" i="2"/>
  <c r="E383" i="2"/>
  <c r="E387" i="2"/>
  <c r="E390" i="2"/>
  <c r="E393" i="2"/>
  <c r="E395" i="2"/>
  <c r="E397" i="2"/>
  <c r="E401" i="2"/>
  <c r="E405" i="2"/>
  <c r="E415" i="2"/>
  <c r="E420" i="2"/>
  <c r="E427" i="2"/>
  <c r="E438" i="2"/>
  <c r="E444" i="2"/>
  <c r="E447" i="2"/>
  <c r="E452" i="2"/>
  <c r="E457" i="2"/>
  <c r="E492" i="2"/>
  <c r="E495" i="2"/>
  <c r="E512" i="2"/>
  <c r="E517" i="2"/>
  <c r="E533" i="2"/>
  <c r="E542" i="2"/>
  <c r="E563" i="2"/>
  <c r="E569" i="2"/>
  <c r="E578" i="2"/>
  <c r="E616" i="2"/>
  <c r="E627" i="2"/>
  <c r="E631" i="2"/>
  <c r="E632" i="2"/>
  <c r="E633" i="2"/>
  <c r="E639" i="2"/>
  <c r="E655" i="2"/>
  <c r="E663" i="2"/>
  <c r="E681" i="2"/>
  <c r="E685" i="2"/>
  <c r="E693" i="2"/>
  <c r="E736" i="2"/>
  <c r="E754" i="2"/>
  <c r="E764" i="2"/>
  <c r="E766" i="2"/>
  <c r="E768" i="2"/>
  <c r="E770" i="2"/>
  <c r="E782" i="2"/>
  <c r="E809" i="2"/>
  <c r="E814" i="2"/>
  <c r="E819" i="2"/>
  <c r="E826" i="2"/>
  <c r="E836" i="2"/>
  <c r="E920" i="2"/>
  <c r="E929" i="2"/>
  <c r="E932" i="2"/>
  <c r="E935" i="2"/>
  <c r="E938" i="2"/>
  <c r="E946" i="2"/>
  <c r="E955" i="2"/>
  <c r="E965" i="2"/>
  <c r="E972" i="2"/>
  <c r="E978" i="2"/>
  <c r="E981" i="2"/>
  <c r="E985" i="2"/>
  <c r="E988" i="2"/>
  <c r="E998" i="2"/>
  <c r="E1000" i="2"/>
  <c r="E1006" i="2"/>
  <c r="E1011" i="2"/>
  <c r="E1026" i="2"/>
  <c r="E1028" i="2"/>
  <c r="E1051" i="2"/>
  <c r="E1053" i="2"/>
  <c r="E1056" i="2"/>
  <c r="E1058" i="2"/>
  <c r="E1063" i="2"/>
  <c r="E1076" i="2"/>
  <c r="E1080" i="2"/>
  <c r="E1091" i="2"/>
  <c r="E1095" i="2"/>
  <c r="E1097" i="2"/>
  <c r="E1102" i="2"/>
  <c r="E1121" i="2"/>
  <c r="E1122" i="2"/>
  <c r="E18" i="2"/>
  <c r="E1099" i="2"/>
  <c r="E1100" i="2"/>
  <c r="E19" i="2"/>
  <c r="E48" i="2"/>
  <c r="E62" i="2"/>
  <c r="E261" i="2"/>
  <c r="E123" i="2"/>
  <c r="E132" i="2"/>
  <c r="E1029" i="2"/>
  <c r="E1108" i="2"/>
  <c r="E20" i="2"/>
  <c r="E40" i="2"/>
  <c r="E46" i="2"/>
  <c r="E50" i="2"/>
  <c r="E53" i="2"/>
  <c r="E63" i="2"/>
  <c r="E187" i="2"/>
  <c r="E327" i="2"/>
  <c r="E402" i="2"/>
  <c r="E413" i="2"/>
  <c r="E436" i="2"/>
  <c r="E465" i="2"/>
  <c r="E475" i="2"/>
  <c r="E476" i="2"/>
  <c r="E500" i="2"/>
  <c r="E518" i="2"/>
  <c r="E628" i="2"/>
  <c r="E653" i="2"/>
  <c r="E669" i="2"/>
  <c r="E682" i="2"/>
  <c r="E686" i="2"/>
  <c r="E707" i="2"/>
  <c r="E714" i="2"/>
  <c r="E788" i="2"/>
  <c r="E830" i="2"/>
  <c r="E846" i="2"/>
  <c r="E867" i="2"/>
  <c r="E968" i="2"/>
  <c r="E996" i="2"/>
  <c r="E1001" i="2"/>
  <c r="E1009" i="2"/>
  <c r="E1015" i="2"/>
  <c r="E1103" i="2"/>
  <c r="E21" i="2"/>
  <c r="E74" i="2"/>
  <c r="E120" i="2"/>
  <c r="E135" i="2"/>
  <c r="E144" i="2"/>
  <c r="E159" i="2"/>
  <c r="E382" i="2"/>
  <c r="E501" i="2"/>
  <c r="E557" i="2"/>
  <c r="E570" i="2"/>
  <c r="E722" i="2"/>
  <c r="E816" i="2"/>
  <c r="E1061" i="2"/>
  <c r="E1067" i="2"/>
  <c r="E1093" i="2"/>
  <c r="E121" i="2"/>
  <c r="E68" i="2"/>
  <c r="E101" i="2"/>
  <c r="E105" i="2"/>
  <c r="E220" i="2"/>
  <c r="E231" i="2"/>
  <c r="E255" i="2"/>
  <c r="E268" i="2"/>
  <c r="E354" i="2"/>
  <c r="E367" i="2"/>
  <c r="E391" i="2"/>
  <c r="E432" i="2"/>
  <c r="E601" i="2"/>
  <c r="E700" i="2"/>
  <c r="E703" i="2"/>
  <c r="E715" i="2"/>
  <c r="E718" i="2"/>
  <c r="E733" i="2"/>
  <c r="E776" i="2"/>
  <c r="E831" i="2"/>
  <c r="E864" i="2"/>
  <c r="E900" i="2"/>
  <c r="E912" i="2"/>
  <c r="E914" i="2"/>
  <c r="E922" i="2"/>
  <c r="E939" i="2"/>
  <c r="E1004" i="2"/>
  <c r="E1123" i="2"/>
  <c r="E1124" i="2"/>
  <c r="E22" i="2"/>
  <c r="E23" i="2"/>
  <c r="E41" i="2"/>
  <c r="E160" i="2"/>
  <c r="E173" i="2"/>
  <c r="E211" i="2"/>
  <c r="E295" i="2"/>
  <c r="E302" i="2"/>
  <c r="E347" i="2"/>
  <c r="E370" i="2"/>
  <c r="E388" i="2"/>
  <c r="E422" i="2"/>
  <c r="E433" i="2"/>
  <c r="E451" i="2"/>
  <c r="E455" i="2"/>
  <c r="E468" i="2"/>
  <c r="E489" i="2"/>
  <c r="E526" i="2"/>
  <c r="E595" i="2"/>
  <c r="E728" i="2"/>
  <c r="E741" i="2"/>
  <c r="E748" i="2"/>
  <c r="E760" i="2"/>
  <c r="E778" i="2"/>
  <c r="E874" i="2"/>
  <c r="E881" i="2"/>
  <c r="E895" i="2"/>
  <c r="E917" i="2"/>
  <c r="E24" i="2"/>
  <c r="E52" i="2"/>
  <c r="E57" i="2"/>
  <c r="E76" i="2"/>
  <c r="E96" i="2"/>
  <c r="E124" i="2"/>
  <c r="E127" i="2"/>
  <c r="E161" i="2"/>
  <c r="E263" i="2"/>
  <c r="E272" i="2"/>
  <c r="E276" i="2"/>
  <c r="E285" i="2"/>
  <c r="E299" i="2"/>
  <c r="E304" i="2"/>
  <c r="E310" i="2"/>
  <c r="E323" i="2"/>
  <c r="E343" i="2"/>
  <c r="E348" i="2"/>
  <c r="E352" i="2"/>
  <c r="E357" i="2"/>
  <c r="E389" i="2"/>
  <c r="E428" i="2"/>
  <c r="E439" i="2"/>
  <c r="E446" i="2"/>
  <c r="E469" i="2"/>
  <c r="E472" i="2"/>
  <c r="E474" i="2"/>
  <c r="E502" i="2"/>
  <c r="E506" i="2"/>
  <c r="E509" i="2"/>
  <c r="E515" i="2"/>
  <c r="E523" i="2"/>
  <c r="E537" i="2"/>
  <c r="E547" i="2"/>
  <c r="E552" i="2"/>
  <c r="E564" i="2"/>
  <c r="E576" i="2"/>
  <c r="E617" i="2"/>
  <c r="E624" i="2"/>
  <c r="E636" i="2"/>
  <c r="E656" i="2"/>
  <c r="E673" i="2"/>
  <c r="E697" i="2"/>
  <c r="E723" i="2"/>
  <c r="E727" i="2"/>
  <c r="E742" i="2"/>
  <c r="E757" i="2"/>
  <c r="E783" i="2"/>
  <c r="E795" i="2"/>
  <c r="E869" i="2"/>
  <c r="E882" i="2"/>
  <c r="E885" i="2"/>
  <c r="E892" i="2"/>
  <c r="E902" i="2"/>
  <c r="E904" i="2"/>
  <c r="E906" i="2"/>
  <c r="E909" i="2"/>
  <c r="E923" i="2"/>
  <c r="E989" i="2"/>
  <c r="E992" i="2"/>
  <c r="E1045" i="2"/>
  <c r="E1050" i="2"/>
  <c r="E1104" i="2"/>
  <c r="E25" i="2"/>
  <c r="E36" i="2"/>
  <c r="E97" i="2"/>
  <c r="E147" i="2"/>
  <c r="E156" i="2"/>
  <c r="E178" i="2"/>
  <c r="E181" i="2"/>
  <c r="E234" i="2"/>
  <c r="E237" i="2"/>
  <c r="E270" i="2"/>
  <c r="E296" i="2"/>
  <c r="E321" i="2"/>
  <c r="E331" i="2"/>
  <c r="E344" i="2"/>
  <c r="E358" i="2"/>
  <c r="E423" i="2"/>
  <c r="E460" i="2"/>
  <c r="E463" i="2"/>
  <c r="E496" i="2"/>
  <c r="E510" i="2"/>
  <c r="E521" i="2"/>
  <c r="E538" i="2"/>
  <c r="E553" i="2"/>
  <c r="E625" i="2"/>
  <c r="E646" i="2"/>
  <c r="E670" i="2"/>
  <c r="E674" i="2"/>
  <c r="E716" i="2"/>
  <c r="E771" i="2"/>
  <c r="E832" i="2"/>
  <c r="E852" i="2"/>
  <c r="E858" i="2"/>
  <c r="E875" i="2"/>
  <c r="E924" i="2"/>
  <c r="E936" i="2"/>
  <c r="E1008" i="2"/>
  <c r="E1023" i="2"/>
  <c r="E1031" i="2"/>
  <c r="E1084" i="2"/>
  <c r="E1094" i="2"/>
  <c r="E26" i="2"/>
  <c r="E290" i="2"/>
  <c r="E440" i="2"/>
  <c r="E729" i="2"/>
  <c r="E730" i="2"/>
  <c r="E734" i="2"/>
  <c r="E743" i="2"/>
  <c r="E942" i="2"/>
  <c r="E953" i="2"/>
  <c r="E959" i="2"/>
  <c r="E1078" i="2"/>
  <c r="E1105" i="2"/>
  <c r="E27" i="2"/>
  <c r="E163" i="2"/>
  <c r="E184" i="2"/>
  <c r="E257" i="2"/>
  <c r="E281" i="2"/>
  <c r="E375" i="2"/>
  <c r="E411" i="2"/>
  <c r="E531" i="2"/>
  <c r="E613" i="2"/>
  <c r="E708" i="2"/>
  <c r="E767" i="2"/>
  <c r="E899" i="2"/>
  <c r="E479" i="2"/>
  <c r="E702" i="2"/>
  <c r="E28" i="2"/>
  <c r="E89" i="2"/>
  <c r="E116" i="2"/>
  <c r="E133" i="2"/>
  <c r="E232" i="2"/>
  <c r="E508" i="2"/>
  <c r="E527" i="2"/>
  <c r="E583" i="2"/>
  <c r="E598" i="2"/>
  <c r="E737" i="2"/>
  <c r="E878" i="2"/>
  <c r="E893" i="2"/>
  <c r="E29" i="2"/>
  <c r="E47" i="2"/>
  <c r="E54" i="2"/>
  <c r="E98" i="2"/>
  <c r="E118" i="2"/>
  <c r="E125" i="2"/>
  <c r="E126" i="2"/>
  <c r="E138" i="2"/>
  <c r="E151" i="2"/>
  <c r="E188" i="2"/>
  <c r="E203" i="2"/>
  <c r="E213" i="2"/>
  <c r="E219" i="2"/>
  <c r="E225" i="2"/>
  <c r="E226" i="2"/>
  <c r="E241" i="2"/>
  <c r="E244" i="2"/>
  <c r="E258" i="2"/>
  <c r="E273" i="2"/>
  <c r="E275" i="2"/>
  <c r="E277" i="2"/>
  <c r="E287" i="2"/>
  <c r="E306" i="2"/>
  <c r="E314" i="2"/>
  <c r="E332" i="2"/>
  <c r="E345" i="2"/>
  <c r="E349" i="2"/>
  <c r="E362" i="2"/>
  <c r="E365" i="2"/>
  <c r="E372" i="2"/>
  <c r="E378" i="2"/>
  <c r="E400" i="2"/>
  <c r="E403" i="2"/>
  <c r="E416" i="2"/>
  <c r="E434" i="2"/>
  <c r="E445" i="2"/>
  <c r="E448" i="2"/>
  <c r="E453" i="2"/>
  <c r="E461" i="2"/>
  <c r="E497" i="2"/>
  <c r="E511" i="2"/>
  <c r="E520" i="2"/>
  <c r="E539" i="2"/>
  <c r="E554" i="2"/>
  <c r="E561" i="2"/>
  <c r="E572" i="2"/>
  <c r="E590" i="2"/>
  <c r="E606" i="2"/>
  <c r="E611" i="2"/>
  <c r="E650" i="2"/>
  <c r="E652" i="2"/>
  <c r="E692" i="2"/>
  <c r="E704" i="2"/>
  <c r="E711" i="2"/>
  <c r="E738" i="2"/>
  <c r="E744" i="2"/>
  <c r="E746" i="2"/>
  <c r="E789" i="2"/>
  <c r="E822" i="2"/>
  <c r="E848" i="2"/>
  <c r="E859" i="2"/>
  <c r="E873" i="2"/>
  <c r="E879" i="2"/>
  <c r="E883" i="2"/>
  <c r="E896" i="2"/>
  <c r="E913" i="2"/>
  <c r="E925" i="2"/>
  <c r="E947" i="2"/>
  <c r="E969" i="2"/>
  <c r="E973" i="2"/>
  <c r="E1032" i="2"/>
  <c r="E1068" i="2"/>
  <c r="E1074" i="2"/>
  <c r="E1081" i="2"/>
  <c r="E1087" i="2"/>
  <c r="E1117" i="2"/>
  <c r="E30" i="2"/>
  <c r="E162" i="2"/>
  <c r="E174" i="2"/>
  <c r="E265" i="2"/>
  <c r="E286" i="2"/>
  <c r="E292" i="2"/>
  <c r="E308" i="2"/>
  <c r="E311" i="2"/>
  <c r="E315" i="2"/>
  <c r="E363" i="2"/>
  <c r="E528" i="2"/>
  <c r="E555" i="2"/>
  <c r="E565" i="2"/>
  <c r="E618" i="2"/>
  <c r="E658" i="2"/>
  <c r="E679" i="2"/>
  <c r="E853" i="2"/>
  <c r="E870" i="2"/>
  <c r="E911" i="2"/>
  <c r="E915" i="2"/>
  <c r="E918" i="2"/>
  <c r="E919" i="2"/>
  <c r="E933" i="2"/>
  <c r="E971" i="2"/>
  <c r="E1033" i="2"/>
  <c r="E1036" i="2"/>
  <c r="E271" i="2"/>
  <c r="E282" i="2"/>
  <c r="E417" i="2"/>
  <c r="E31" i="2"/>
  <c r="E64" i="2"/>
  <c r="E69" i="2"/>
  <c r="E85" i="2"/>
  <c r="E104" i="2"/>
  <c r="E110" i="2"/>
  <c r="E175" i="2"/>
  <c r="E207" i="2"/>
  <c r="E214" i="2"/>
  <c r="E228" i="2"/>
  <c r="E262" i="2"/>
  <c r="E288" i="2"/>
  <c r="E303" i="2"/>
  <c r="E368" i="2"/>
  <c r="E376" i="2"/>
  <c r="E385" i="2"/>
  <c r="E437" i="2"/>
  <c r="E464" i="2"/>
  <c r="E466" i="2"/>
  <c r="E470" i="2"/>
  <c r="E543" i="2"/>
  <c r="E548" i="2"/>
  <c r="E588" i="2"/>
  <c r="E592" i="2"/>
  <c r="E654" i="2"/>
  <c r="E675" i="2"/>
  <c r="E705" i="2"/>
  <c r="E719" i="2"/>
  <c r="E724" i="2"/>
  <c r="E758" i="2"/>
  <c r="E791" i="2"/>
  <c r="E800" i="2"/>
  <c r="E855" i="2"/>
  <c r="E865" i="2"/>
  <c r="E871" i="2"/>
  <c r="E970" i="2"/>
  <c r="E1065" i="2"/>
  <c r="E1075" i="2"/>
  <c r="E1083" i="2"/>
  <c r="E1092" i="2"/>
  <c r="E157" i="2"/>
  <c r="E32" i="2"/>
  <c r="E55" i="2"/>
  <c r="E77" i="2"/>
  <c r="E81" i="2"/>
  <c r="E102" i="2"/>
  <c r="E149" i="2"/>
  <c r="E164" i="2"/>
  <c r="E166" i="2"/>
  <c r="E171" i="2"/>
  <c r="E180" i="2"/>
  <c r="E185" i="2"/>
  <c r="E204" i="2"/>
  <c r="E312" i="2"/>
  <c r="E324" i="2"/>
  <c r="E334" i="2"/>
  <c r="E338" i="2"/>
  <c r="E346" i="2"/>
  <c r="E377" i="2"/>
  <c r="E414" i="2"/>
  <c r="E435" i="2"/>
  <c r="E483" i="2"/>
  <c r="E498" i="2"/>
  <c r="E529" i="2"/>
  <c r="E535" i="2"/>
  <c r="E645" i="2"/>
  <c r="E676" i="2"/>
  <c r="E725" i="2"/>
  <c r="E779" i="2"/>
  <c r="E792" i="2"/>
  <c r="E798" i="2"/>
  <c r="E854" i="2"/>
  <c r="E930" i="2"/>
  <c r="E1037" i="2"/>
  <c r="E1040" i="2"/>
  <c r="E1043" i="2"/>
  <c r="E1059" i="2"/>
  <c r="E1077" i="2"/>
  <c r="E1082" i="2"/>
  <c r="E1113" i="2"/>
  <c r="E1114" i="2"/>
  <c r="E1118" i="2"/>
  <c r="E33" i="2"/>
  <c r="E221" i="2"/>
  <c r="E842" i="2"/>
  <c r="E1111" i="2"/>
  <c r="E34" i="2"/>
  <c r="E683" i="2"/>
  <c r="E974" i="2"/>
  <c r="E640" i="2"/>
  <c r="E562" i="2"/>
  <c r="E940" i="2"/>
  <c r="E694" i="2"/>
  <c r="E360" i="2"/>
  <c r="E571" i="2"/>
  <c r="E833" i="2"/>
  <c r="E687" i="2"/>
  <c r="E1110" i="2"/>
  <c r="E602" i="2"/>
  <c r="E333" i="2"/>
  <c r="E889" i="2"/>
  <c r="E1109" i="2"/>
  <c r="E1107" i="2"/>
  <c r="E1106" i="2"/>
  <c r="E493" i="2"/>
  <c r="E660" i="2"/>
  <c r="E379" i="2"/>
  <c r="E1052" i="2"/>
  <c r="E948" i="2"/>
  <c r="E167" i="2"/>
  <c r="E139" i="2"/>
  <c r="E796" i="2"/>
  <c r="E962" i="2"/>
  <c r="E1016" i="2"/>
  <c r="E979" i="2"/>
  <c r="E487" i="2"/>
  <c r="E949" i="2"/>
  <c r="E713" i="2"/>
  <c r="E499" i="2"/>
  <c r="E410" i="2"/>
  <c r="E317" i="2"/>
  <c r="E980" i="2"/>
  <c r="E961" i="2"/>
  <c r="E235" i="2"/>
  <c r="E58" i="2"/>
  <c r="E629" i="2"/>
  <c r="E1119" i="2"/>
  <c r="E291" i="2"/>
  <c r="E762" i="2"/>
  <c r="E664" i="2"/>
  <c r="E191" i="2"/>
  <c r="E136" i="2"/>
  <c r="E834" i="2"/>
  <c r="E49" i="2"/>
  <c r="E490" i="2"/>
  <c r="E170" i="2"/>
  <c r="E799" i="2"/>
  <c r="E371" i="2"/>
  <c r="E441" i="2"/>
  <c r="E603" i="2"/>
  <c r="E488" i="2"/>
  <c r="E1038" i="2"/>
  <c r="E1085" i="2"/>
  <c r="E671" i="2"/>
  <c r="E532" i="2"/>
  <c r="E459" i="2"/>
  <c r="E522" i="2"/>
  <c r="E984" i="2"/>
  <c r="E230" i="2"/>
  <c r="E458" i="2"/>
  <c r="E860" i="2"/>
  <c r="E456" i="2"/>
  <c r="E941" i="2"/>
  <c r="E684" i="2"/>
  <c r="E678" i="2"/>
  <c r="E530" i="2"/>
  <c r="E300" i="2"/>
  <c r="E229" i="2"/>
  <c r="E192" i="2"/>
  <c r="E890" i="2"/>
  <c r="E454" i="2"/>
  <c r="E355" i="2"/>
  <c r="E647" i="2"/>
  <c r="E579" i="2"/>
  <c r="E59" i="2"/>
  <c r="E903" i="2"/>
  <c r="E891" i="2"/>
  <c r="E801" i="2"/>
  <c r="E2" i="2"/>
  <c r="C536" i="2"/>
  <c r="C540" i="2"/>
  <c r="C696" i="2"/>
  <c r="C847" i="2"/>
  <c r="C1002" i="2"/>
  <c r="C3" i="2"/>
  <c r="C35" i="2"/>
  <c r="C37" i="2"/>
  <c r="C56" i="2"/>
  <c r="C66" i="2"/>
  <c r="C67" i="2"/>
  <c r="C70" i="2"/>
  <c r="C72" i="2"/>
  <c r="C75" i="2"/>
  <c r="C78" i="2"/>
  <c r="C79" i="2"/>
  <c r="C86" i="2"/>
  <c r="C87" i="2"/>
  <c r="C94" i="2"/>
  <c r="C106" i="2"/>
  <c r="C113" i="2"/>
  <c r="C128" i="2"/>
  <c r="C137" i="2"/>
  <c r="C140" i="2"/>
  <c r="C150" i="2"/>
  <c r="C154" i="2"/>
  <c r="C165" i="2"/>
  <c r="C168" i="2"/>
  <c r="C176" i="2"/>
  <c r="C182" i="2"/>
  <c r="C189" i="2"/>
  <c r="C199" i="2"/>
  <c r="C201" i="2"/>
  <c r="C202" i="2"/>
  <c r="C205" i="2"/>
  <c r="C208" i="2"/>
  <c r="C215" i="2"/>
  <c r="C233" i="2"/>
  <c r="C256" i="2"/>
  <c r="C259" i="2"/>
  <c r="C274" i="2"/>
  <c r="C313" i="2"/>
  <c r="C318" i="2"/>
  <c r="C322" i="2"/>
  <c r="C328" i="2"/>
  <c r="C339" i="2"/>
  <c r="C361" i="2"/>
  <c r="C364" i="2"/>
  <c r="C366" i="2"/>
  <c r="C384" i="2"/>
  <c r="C412" i="2"/>
  <c r="C418" i="2"/>
  <c r="C421" i="2"/>
  <c r="C424" i="2"/>
  <c r="C429" i="2"/>
  <c r="C430" i="2"/>
  <c r="C442" i="2"/>
  <c r="C462" i="2"/>
  <c r="C471" i="2"/>
  <c r="C477" i="2"/>
  <c r="C481" i="2"/>
  <c r="C485" i="2"/>
  <c r="C494" i="2"/>
  <c r="C503" i="2"/>
  <c r="C513" i="2"/>
  <c r="C514" i="2"/>
  <c r="C524" i="2"/>
  <c r="C546" i="2"/>
  <c r="C559" i="2"/>
  <c r="C580" i="2"/>
  <c r="C584" i="2"/>
  <c r="C587" i="2"/>
  <c r="C609" i="2"/>
  <c r="C619" i="2"/>
  <c r="C622" i="2"/>
  <c r="C634" i="2"/>
  <c r="C642" i="2"/>
  <c r="C651" i="2"/>
  <c r="C690" i="2"/>
  <c r="C698" i="2"/>
  <c r="C735" i="2"/>
  <c r="C747" i="2"/>
  <c r="C749" i="2"/>
  <c r="C755" i="2"/>
  <c r="C761" i="2"/>
  <c r="C765" i="2"/>
  <c r="C775" i="2"/>
  <c r="C780" i="2"/>
  <c r="C784" i="2"/>
  <c r="C786" i="2"/>
  <c r="C794" i="2"/>
  <c r="C802" i="2"/>
  <c r="C803" i="2"/>
  <c r="C808" i="2"/>
  <c r="C811" i="2"/>
  <c r="C813" i="2"/>
  <c r="C817" i="2"/>
  <c r="C823" i="2"/>
  <c r="C827" i="2"/>
  <c r="C828" i="2"/>
  <c r="C838" i="2"/>
  <c r="C840" i="2"/>
  <c r="C843" i="2"/>
  <c r="C844" i="2"/>
  <c r="C849" i="2"/>
  <c r="C861" i="2"/>
  <c r="C872" i="2"/>
  <c r="C886" i="2"/>
  <c r="C897" i="2"/>
  <c r="C907" i="2"/>
  <c r="C910" i="2"/>
  <c r="C927" i="2"/>
  <c r="C943" i="2"/>
  <c r="C960" i="2"/>
  <c r="C977" i="2"/>
  <c r="C993" i="2"/>
  <c r="C994" i="2"/>
  <c r="C997" i="2"/>
  <c r="C1018" i="2"/>
  <c r="C1047" i="2"/>
  <c r="C1060" i="2"/>
  <c r="C1064" i="2"/>
  <c r="C1069" i="2"/>
  <c r="C1070" i="2"/>
  <c r="C1072" i="2"/>
  <c r="C1088" i="2"/>
  <c r="C1101" i="2"/>
  <c r="C1112" i="2"/>
  <c r="C1115" i="2"/>
  <c r="C4" i="2"/>
  <c r="C109" i="2"/>
  <c r="C406" i="2"/>
  <c r="C928" i="2"/>
  <c r="C999" i="2"/>
  <c r="C5" i="2"/>
  <c r="C726" i="2"/>
  <c r="C119" i="2"/>
  <c r="C193" i="2"/>
  <c r="C198" i="2"/>
  <c r="C398" i="2"/>
  <c r="C491" i="2"/>
  <c r="C558" i="2"/>
  <c r="C573" i="2"/>
  <c r="C577" i="2"/>
  <c r="C672" i="2"/>
  <c r="C709" i="2"/>
  <c r="C720" i="2"/>
  <c r="C721" i="2"/>
  <c r="C739" i="2"/>
  <c r="C777" i="2"/>
  <c r="C805" i="2"/>
  <c r="C806" i="2"/>
  <c r="C862" i="2"/>
  <c r="C884" i="2"/>
  <c r="C954" i="2"/>
  <c r="C966" i="2"/>
  <c r="C1041" i="2"/>
  <c r="C1062" i="2"/>
  <c r="C6" i="2"/>
  <c r="C7" i="2"/>
  <c r="C825" i="2"/>
  <c r="C38" i="2"/>
  <c r="C82" i="2"/>
  <c r="C99" i="2"/>
  <c r="C108" i="2"/>
  <c r="C197" i="2"/>
  <c r="C217" i="2"/>
  <c r="C252" i="2"/>
  <c r="C278" i="2"/>
  <c r="C293" i="2"/>
  <c r="C325" i="2"/>
  <c r="C336" i="2"/>
  <c r="C407" i="2"/>
  <c r="C566" i="2"/>
  <c r="C574" i="2"/>
  <c r="C581" i="2"/>
  <c r="C585" i="2"/>
  <c r="C599" i="2"/>
  <c r="C610" i="2"/>
  <c r="C614" i="2"/>
  <c r="C635" i="2"/>
  <c r="C710" i="2"/>
  <c r="C750" i="2"/>
  <c r="C772" i="2"/>
  <c r="C793" i="2"/>
  <c r="C812" i="2"/>
  <c r="C815" i="2"/>
  <c r="C820" i="2"/>
  <c r="C821" i="2"/>
  <c r="C824" i="2"/>
  <c r="C850" i="2"/>
  <c r="C857" i="2"/>
  <c r="C880" i="2"/>
  <c r="C894" i="2"/>
  <c r="C937" i="2"/>
  <c r="C957" i="2"/>
  <c r="C982" i="2"/>
  <c r="C1020" i="2"/>
  <c r="C1046" i="2"/>
  <c r="C1049" i="2"/>
  <c r="C1089" i="2"/>
  <c r="C1116" i="2"/>
  <c r="C8" i="2"/>
  <c r="C60" i="2"/>
  <c r="C316" i="2"/>
  <c r="C626" i="2"/>
  <c r="C195" i="2"/>
  <c r="C9" i="2"/>
  <c r="C90" i="2"/>
  <c r="C95" i="2"/>
  <c r="C130" i="2"/>
  <c r="C143" i="2"/>
  <c r="C152" i="2"/>
  <c r="C153" i="2"/>
  <c r="C155" i="2"/>
  <c r="C186" i="2"/>
  <c r="C222" i="2"/>
  <c r="C240" i="2"/>
  <c r="C245" i="2"/>
  <c r="C248" i="2"/>
  <c r="C250" i="2"/>
  <c r="C251" i="2"/>
  <c r="C253" i="2"/>
  <c r="C264" i="2"/>
  <c r="C279" i="2"/>
  <c r="C284" i="2"/>
  <c r="C289" i="2"/>
  <c r="C294" i="2"/>
  <c r="C297" i="2"/>
  <c r="C301" i="2"/>
  <c r="C309" i="2"/>
  <c r="C319" i="2"/>
  <c r="C326" i="2"/>
  <c r="C337" i="2"/>
  <c r="C373" i="2"/>
  <c r="C394" i="2"/>
  <c r="C399" i="2"/>
  <c r="C404" i="2"/>
  <c r="C426" i="2"/>
  <c r="C443" i="2"/>
  <c r="C449" i="2"/>
  <c r="C480" i="2"/>
  <c r="C484" i="2"/>
  <c r="C486" i="2"/>
  <c r="C504" i="2"/>
  <c r="C534" i="2"/>
  <c r="C541" i="2"/>
  <c r="C560" i="2"/>
  <c r="C586" i="2"/>
  <c r="C596" i="2"/>
  <c r="C604" i="2"/>
  <c r="C607" i="2"/>
  <c r="C612" i="2"/>
  <c r="C620" i="2"/>
  <c r="C623" i="2"/>
  <c r="C637" i="2"/>
  <c r="C641" i="2"/>
  <c r="C648" i="2"/>
  <c r="C657" i="2"/>
  <c r="C659" i="2"/>
  <c r="C665" i="2"/>
  <c r="C668" i="2"/>
  <c r="C677" i="2"/>
  <c r="C688" i="2"/>
  <c r="C691" i="2"/>
  <c r="C695" i="2"/>
  <c r="C701" i="2"/>
  <c r="C751" i="2"/>
  <c r="C769" i="2"/>
  <c r="C773" i="2"/>
  <c r="C804" i="2"/>
  <c r="C807" i="2"/>
  <c r="C810" i="2"/>
  <c r="C839" i="2"/>
  <c r="C845" i="2"/>
  <c r="C866" i="2"/>
  <c r="C876" i="2"/>
  <c r="C887" i="2"/>
  <c r="C898" i="2"/>
  <c r="C901" i="2"/>
  <c r="C905" i="2"/>
  <c r="C921" i="2"/>
  <c r="C926" i="2"/>
  <c r="C931" i="2"/>
  <c r="C944" i="2"/>
  <c r="C952" i="2"/>
  <c r="C956" i="2"/>
  <c r="C963" i="2"/>
  <c r="C964" i="2"/>
  <c r="C975" i="2"/>
  <c r="C976" i="2"/>
  <c r="C995" i="2"/>
  <c r="C1003" i="2"/>
  <c r="C1010" i="2"/>
  <c r="C1012" i="2"/>
  <c r="C1017" i="2"/>
  <c r="C1021" i="2"/>
  <c r="C1024" i="2"/>
  <c r="C1027" i="2"/>
  <c r="C1030" i="2"/>
  <c r="C1035" i="2"/>
  <c r="C1042" i="2"/>
  <c r="C1044" i="2"/>
  <c r="C1048" i="2"/>
  <c r="C1054" i="2"/>
  <c r="C1073" i="2"/>
  <c r="C1098" i="2"/>
  <c r="C1120" i="2"/>
  <c r="C83" i="2"/>
  <c r="C103" i="2"/>
  <c r="C950" i="2"/>
  <c r="C10" i="2"/>
  <c r="C44" i="2"/>
  <c r="C84" i="2"/>
  <c r="C91" i="2"/>
  <c r="C131" i="2"/>
  <c r="C236" i="2"/>
  <c r="C374" i="2"/>
  <c r="C505" i="2"/>
  <c r="C575" i="2"/>
  <c r="C589" i="2"/>
  <c r="C591" i="2"/>
  <c r="C630" i="2"/>
  <c r="C643" i="2"/>
  <c r="C661" i="2"/>
  <c r="C680" i="2"/>
  <c r="C699" i="2"/>
  <c r="C790" i="2"/>
  <c r="C818" i="2"/>
  <c r="C835" i="2"/>
  <c r="C841" i="2"/>
  <c r="C1079" i="2"/>
  <c r="C1090" i="2"/>
  <c r="C1096" i="2"/>
  <c r="C11" i="2"/>
  <c r="C65" i="2"/>
  <c r="C141" i="2"/>
  <c r="C209" i="2"/>
  <c r="C266" i="2"/>
  <c r="C335" i="2"/>
  <c r="C350" i="2"/>
  <c r="C544" i="2"/>
  <c r="C600" i="2"/>
  <c r="C621" i="2"/>
  <c r="C763" i="2"/>
  <c r="C781" i="2"/>
  <c r="C945" i="2"/>
  <c r="C951" i="2"/>
  <c r="C986" i="2"/>
  <c r="C269" i="2"/>
  <c r="C12" i="2"/>
  <c r="C42" i="2"/>
  <c r="C177" i="2"/>
  <c r="C196" i="2"/>
  <c r="C223" i="2"/>
  <c r="C307" i="2"/>
  <c r="C340" i="2"/>
  <c r="C359" i="2"/>
  <c r="C380" i="2"/>
  <c r="C425" i="2"/>
  <c r="C450" i="2"/>
  <c r="C545" i="2"/>
  <c r="C567" i="2"/>
  <c r="C582" i="2"/>
  <c r="C13" i="2"/>
  <c r="C92" i="2"/>
  <c r="C114" i="2"/>
  <c r="C148" i="2"/>
  <c r="C158" i="2"/>
  <c r="C183" i="2"/>
  <c r="C194" i="2"/>
  <c r="C200" i="2"/>
  <c r="C280" i="2"/>
  <c r="C351" i="2"/>
  <c r="C392" i="2"/>
  <c r="C408" i="2"/>
  <c r="C431" i="2"/>
  <c r="C473" i="2"/>
  <c r="C482" i="2"/>
  <c r="C516" i="2"/>
  <c r="C519" i="2"/>
  <c r="C551" i="2"/>
  <c r="C593" i="2"/>
  <c r="C597" i="2"/>
  <c r="C615" i="2"/>
  <c r="C662" i="2"/>
  <c r="C666" i="2"/>
  <c r="C689" i="2"/>
  <c r="C706" i="2"/>
  <c r="C740" i="2"/>
  <c r="C756" i="2"/>
  <c r="C797" i="2"/>
  <c r="C908" i="2"/>
  <c r="C934" i="2"/>
  <c r="C958" i="2"/>
  <c r="C983" i="2"/>
  <c r="C987" i="2"/>
  <c r="C1013" i="2"/>
  <c r="C1019" i="2"/>
  <c r="C1034" i="2"/>
  <c r="C1039" i="2"/>
  <c r="C1057" i="2"/>
  <c r="C1005" i="2"/>
  <c r="C1086" i="2"/>
  <c r="C386" i="2"/>
  <c r="C1055" i="2"/>
  <c r="C1071" i="2"/>
  <c r="C14" i="2"/>
  <c r="C43" i="2"/>
  <c r="C45" i="2"/>
  <c r="C71" i="2"/>
  <c r="C88" i="2"/>
  <c r="C107" i="2"/>
  <c r="C238" i="2"/>
  <c r="C242" i="2"/>
  <c r="C305" i="2"/>
  <c r="C320" i="2"/>
  <c r="C341" i="2"/>
  <c r="C396" i="2"/>
  <c r="C419" i="2"/>
  <c r="C507" i="2"/>
  <c r="C525" i="2"/>
  <c r="C667" i="2"/>
  <c r="C712" i="2"/>
  <c r="C731" i="2"/>
  <c r="C785" i="2"/>
  <c r="C916" i="2"/>
  <c r="C967" i="2"/>
  <c r="C990" i="2"/>
  <c r="C15" i="2"/>
  <c r="C39" i="2"/>
  <c r="C61" i="2"/>
  <c r="C93" i="2"/>
  <c r="C112" i="2"/>
  <c r="C115" i="2"/>
  <c r="C117" i="2"/>
  <c r="C145" i="2"/>
  <c r="C190" i="2"/>
  <c r="C210" i="2"/>
  <c r="C218" i="2"/>
  <c r="C267" i="2"/>
  <c r="C329" i="2"/>
  <c r="C342" i="2"/>
  <c r="C478" i="2"/>
  <c r="C549" i="2"/>
  <c r="C568" i="2"/>
  <c r="C594" i="2"/>
  <c r="C638" i="2"/>
  <c r="C644" i="2"/>
  <c r="C752" i="2"/>
  <c r="C774" i="2"/>
  <c r="C787" i="2"/>
  <c r="C991" i="2"/>
  <c r="C1007" i="2"/>
  <c r="C1022" i="2"/>
  <c r="C16" i="2"/>
  <c r="C111" i="2"/>
  <c r="C122" i="2"/>
  <c r="C134" i="2"/>
  <c r="C224" i="2"/>
  <c r="C227" i="2"/>
  <c r="C247" i="2"/>
  <c r="C254" i="2"/>
  <c r="C409" i="2"/>
  <c r="C467" i="2"/>
  <c r="C550" i="2"/>
  <c r="C556" i="2"/>
  <c r="C605" i="2"/>
  <c r="C608" i="2"/>
  <c r="C649" i="2"/>
  <c r="C717" i="2"/>
  <c r="C732" i="2"/>
  <c r="C745" i="2"/>
  <c r="C753" i="2"/>
  <c r="C759" i="2"/>
  <c r="C829" i="2"/>
  <c r="C851" i="2"/>
  <c r="C856" i="2"/>
  <c r="C863" i="2"/>
  <c r="C868" i="2"/>
  <c r="C877" i="2"/>
  <c r="C888" i="2"/>
  <c r="C1014" i="2"/>
  <c r="C1025" i="2"/>
  <c r="C1066" i="2"/>
  <c r="C17" i="2"/>
  <c r="C51" i="2"/>
  <c r="C73" i="2"/>
  <c r="C80" i="2"/>
  <c r="C100" i="2"/>
  <c r="C129" i="2"/>
  <c r="C142" i="2"/>
  <c r="C146" i="2"/>
  <c r="C169" i="2"/>
  <c r="C172" i="2"/>
  <c r="C179" i="2"/>
  <c r="C206" i="2"/>
  <c r="C212" i="2"/>
  <c r="C216" i="2"/>
  <c r="C239" i="2"/>
  <c r="C243" i="2"/>
  <c r="C246" i="2"/>
  <c r="C249" i="2"/>
  <c r="C260" i="2"/>
  <c r="C283" i="2"/>
  <c r="C298" i="2"/>
  <c r="C330" i="2"/>
  <c r="C353" i="2"/>
  <c r="C356" i="2"/>
  <c r="C369" i="2"/>
  <c r="C381" i="2"/>
  <c r="C383" i="2"/>
  <c r="C387" i="2"/>
  <c r="C390" i="2"/>
  <c r="C393" i="2"/>
  <c r="C395" i="2"/>
  <c r="C397" i="2"/>
  <c r="C401" i="2"/>
  <c r="C405" i="2"/>
  <c r="C415" i="2"/>
  <c r="C420" i="2"/>
  <c r="C427" i="2"/>
  <c r="C438" i="2"/>
  <c r="C444" i="2"/>
  <c r="C447" i="2"/>
  <c r="C452" i="2"/>
  <c r="C457" i="2"/>
  <c r="C492" i="2"/>
  <c r="C495" i="2"/>
  <c r="C512" i="2"/>
  <c r="C517" i="2"/>
  <c r="C533" i="2"/>
  <c r="C542" i="2"/>
  <c r="C563" i="2"/>
  <c r="C569" i="2"/>
  <c r="C578" i="2"/>
  <c r="C616" i="2"/>
  <c r="C627" i="2"/>
  <c r="C631" i="2"/>
  <c r="C632" i="2"/>
  <c r="C633" i="2"/>
  <c r="C639" i="2"/>
  <c r="C655" i="2"/>
  <c r="C663" i="2"/>
  <c r="C681" i="2"/>
  <c r="C685" i="2"/>
  <c r="C693" i="2"/>
  <c r="C736" i="2"/>
  <c r="C754" i="2"/>
  <c r="C764" i="2"/>
  <c r="C766" i="2"/>
  <c r="C768" i="2"/>
  <c r="C770" i="2"/>
  <c r="C782" i="2"/>
  <c r="C809" i="2"/>
  <c r="C814" i="2"/>
  <c r="C819" i="2"/>
  <c r="C826" i="2"/>
  <c r="C836" i="2"/>
  <c r="C920" i="2"/>
  <c r="C929" i="2"/>
  <c r="C932" i="2"/>
  <c r="C935" i="2"/>
  <c r="C938" i="2"/>
  <c r="C946" i="2"/>
  <c r="C955" i="2"/>
  <c r="C965" i="2"/>
  <c r="C972" i="2"/>
  <c r="C978" i="2"/>
  <c r="C981" i="2"/>
  <c r="C985" i="2"/>
  <c r="C988" i="2"/>
  <c r="C998" i="2"/>
  <c r="C1000" i="2"/>
  <c r="C1006" i="2"/>
  <c r="C1011" i="2"/>
  <c r="C1026" i="2"/>
  <c r="C1028" i="2"/>
  <c r="C1051" i="2"/>
  <c r="C1053" i="2"/>
  <c r="C1056" i="2"/>
  <c r="C1058" i="2"/>
  <c r="C1063" i="2"/>
  <c r="C1076" i="2"/>
  <c r="C1080" i="2"/>
  <c r="C1091" i="2"/>
  <c r="C1095" i="2"/>
  <c r="C1097" i="2"/>
  <c r="C1102" i="2"/>
  <c r="C1121" i="2"/>
  <c r="C1122" i="2"/>
  <c r="C18" i="2"/>
  <c r="C1099" i="2"/>
  <c r="C1100" i="2"/>
  <c r="C19" i="2"/>
  <c r="C48" i="2"/>
  <c r="C62" i="2"/>
  <c r="C261" i="2"/>
  <c r="C123" i="2"/>
  <c r="C132" i="2"/>
  <c r="C1029" i="2"/>
  <c r="C1108" i="2"/>
  <c r="C20" i="2"/>
  <c r="C40" i="2"/>
  <c r="C46" i="2"/>
  <c r="C50" i="2"/>
  <c r="C53" i="2"/>
  <c r="C63" i="2"/>
  <c r="C187" i="2"/>
  <c r="C327" i="2"/>
  <c r="C402" i="2"/>
  <c r="C413" i="2"/>
  <c r="C436" i="2"/>
  <c r="C465" i="2"/>
  <c r="C475" i="2"/>
  <c r="C476" i="2"/>
  <c r="C500" i="2"/>
  <c r="C518" i="2"/>
  <c r="C628" i="2"/>
  <c r="C653" i="2"/>
  <c r="C669" i="2"/>
  <c r="C682" i="2"/>
  <c r="C686" i="2"/>
  <c r="C707" i="2"/>
  <c r="C714" i="2"/>
  <c r="C788" i="2"/>
  <c r="C830" i="2"/>
  <c r="C846" i="2"/>
  <c r="C867" i="2"/>
  <c r="C968" i="2"/>
  <c r="C996" i="2"/>
  <c r="C1001" i="2"/>
  <c r="C1009" i="2"/>
  <c r="C1015" i="2"/>
  <c r="C1103" i="2"/>
  <c r="C21" i="2"/>
  <c r="C74" i="2"/>
  <c r="C120" i="2"/>
  <c r="C135" i="2"/>
  <c r="C144" i="2"/>
  <c r="C159" i="2"/>
  <c r="C382" i="2"/>
  <c r="C501" i="2"/>
  <c r="C557" i="2"/>
  <c r="C570" i="2"/>
  <c r="C722" i="2"/>
  <c r="C816" i="2"/>
  <c r="C1061" i="2"/>
  <c r="C1067" i="2"/>
  <c r="C1093" i="2"/>
  <c r="C121" i="2"/>
  <c r="C68" i="2"/>
  <c r="C101" i="2"/>
  <c r="C105" i="2"/>
  <c r="C220" i="2"/>
  <c r="C231" i="2"/>
  <c r="C255" i="2"/>
  <c r="C268" i="2"/>
  <c r="C354" i="2"/>
  <c r="C367" i="2"/>
  <c r="C391" i="2"/>
  <c r="C432" i="2"/>
  <c r="C601" i="2"/>
  <c r="C700" i="2"/>
  <c r="C703" i="2"/>
  <c r="C715" i="2"/>
  <c r="C718" i="2"/>
  <c r="C733" i="2"/>
  <c r="C776" i="2"/>
  <c r="C831" i="2"/>
  <c r="C864" i="2"/>
  <c r="C900" i="2"/>
  <c r="C912" i="2"/>
  <c r="C914" i="2"/>
  <c r="C922" i="2"/>
  <c r="C939" i="2"/>
  <c r="C1004" i="2"/>
  <c r="C1123" i="2"/>
  <c r="C1124" i="2"/>
  <c r="C22" i="2"/>
  <c r="C23" i="2"/>
  <c r="C41" i="2"/>
  <c r="C160" i="2"/>
  <c r="C173" i="2"/>
  <c r="C211" i="2"/>
  <c r="C295" i="2"/>
  <c r="C302" i="2"/>
  <c r="C347" i="2"/>
  <c r="C370" i="2"/>
  <c r="C388" i="2"/>
  <c r="C422" i="2"/>
  <c r="C433" i="2"/>
  <c r="C451" i="2"/>
  <c r="C455" i="2"/>
  <c r="C468" i="2"/>
  <c r="C489" i="2"/>
  <c r="C526" i="2"/>
  <c r="C595" i="2"/>
  <c r="C728" i="2"/>
  <c r="C741" i="2"/>
  <c r="C748" i="2"/>
  <c r="C760" i="2"/>
  <c r="C778" i="2"/>
  <c r="C874" i="2"/>
  <c r="C881" i="2"/>
  <c r="C895" i="2"/>
  <c r="C917" i="2"/>
  <c r="C24" i="2"/>
  <c r="C52" i="2"/>
  <c r="C57" i="2"/>
  <c r="C76" i="2"/>
  <c r="C96" i="2"/>
  <c r="C124" i="2"/>
  <c r="C127" i="2"/>
  <c r="C161" i="2"/>
  <c r="C263" i="2"/>
  <c r="C272" i="2"/>
  <c r="C276" i="2"/>
  <c r="C285" i="2"/>
  <c r="C299" i="2"/>
  <c r="C304" i="2"/>
  <c r="C310" i="2"/>
  <c r="C323" i="2"/>
  <c r="C343" i="2"/>
  <c r="C348" i="2"/>
  <c r="C352" i="2"/>
  <c r="C357" i="2"/>
  <c r="C389" i="2"/>
  <c r="C428" i="2"/>
  <c r="C439" i="2"/>
  <c r="C446" i="2"/>
  <c r="C469" i="2"/>
  <c r="C472" i="2"/>
  <c r="C474" i="2"/>
  <c r="C502" i="2"/>
  <c r="C506" i="2"/>
  <c r="C509" i="2"/>
  <c r="C515" i="2"/>
  <c r="C523" i="2"/>
  <c r="C537" i="2"/>
  <c r="C547" i="2"/>
  <c r="C552" i="2"/>
  <c r="C564" i="2"/>
  <c r="C576" i="2"/>
  <c r="C617" i="2"/>
  <c r="C624" i="2"/>
  <c r="C636" i="2"/>
  <c r="C656" i="2"/>
  <c r="C673" i="2"/>
  <c r="C697" i="2"/>
  <c r="C723" i="2"/>
  <c r="C727" i="2"/>
  <c r="C742" i="2"/>
  <c r="C757" i="2"/>
  <c r="C783" i="2"/>
  <c r="C795" i="2"/>
  <c r="C869" i="2"/>
  <c r="C882" i="2"/>
  <c r="C885" i="2"/>
  <c r="C892" i="2"/>
  <c r="C902" i="2"/>
  <c r="C904" i="2"/>
  <c r="C906" i="2"/>
  <c r="C909" i="2"/>
  <c r="C923" i="2"/>
  <c r="C989" i="2"/>
  <c r="C992" i="2"/>
  <c r="C1045" i="2"/>
  <c r="C1050" i="2"/>
  <c r="C1104" i="2"/>
  <c r="C25" i="2"/>
  <c r="C36" i="2"/>
  <c r="C97" i="2"/>
  <c r="C147" i="2"/>
  <c r="C156" i="2"/>
  <c r="C178" i="2"/>
  <c r="C181" i="2"/>
  <c r="C234" i="2"/>
  <c r="C237" i="2"/>
  <c r="C270" i="2"/>
  <c r="C296" i="2"/>
  <c r="C321" i="2"/>
  <c r="C331" i="2"/>
  <c r="C344" i="2"/>
  <c r="C358" i="2"/>
  <c r="C423" i="2"/>
  <c r="C460" i="2"/>
  <c r="C463" i="2"/>
  <c r="C496" i="2"/>
  <c r="C510" i="2"/>
  <c r="C521" i="2"/>
  <c r="C538" i="2"/>
  <c r="C553" i="2"/>
  <c r="C625" i="2"/>
  <c r="C646" i="2"/>
  <c r="C670" i="2"/>
  <c r="C674" i="2"/>
  <c r="C716" i="2"/>
  <c r="C771" i="2"/>
  <c r="C832" i="2"/>
  <c r="C852" i="2"/>
  <c r="C858" i="2"/>
  <c r="C875" i="2"/>
  <c r="C924" i="2"/>
  <c r="C936" i="2"/>
  <c r="C1008" i="2"/>
  <c r="C1023" i="2"/>
  <c r="C1031" i="2"/>
  <c r="C1084" i="2"/>
  <c r="C1094" i="2"/>
  <c r="C26" i="2"/>
  <c r="C290" i="2"/>
  <c r="C440" i="2"/>
  <c r="C729" i="2"/>
  <c r="C730" i="2"/>
  <c r="C734" i="2"/>
  <c r="C743" i="2"/>
  <c r="C942" i="2"/>
  <c r="C953" i="2"/>
  <c r="C959" i="2"/>
  <c r="C1078" i="2"/>
  <c r="C1105" i="2"/>
  <c r="C27" i="2"/>
  <c r="C163" i="2"/>
  <c r="C184" i="2"/>
  <c r="C257" i="2"/>
  <c r="C281" i="2"/>
  <c r="C375" i="2"/>
  <c r="C411" i="2"/>
  <c r="C531" i="2"/>
  <c r="C613" i="2"/>
  <c r="C708" i="2"/>
  <c r="C767" i="2"/>
  <c r="C899" i="2"/>
  <c r="C479" i="2"/>
  <c r="C702" i="2"/>
  <c r="C28" i="2"/>
  <c r="C89" i="2"/>
  <c r="C116" i="2"/>
  <c r="C133" i="2"/>
  <c r="C232" i="2"/>
  <c r="C508" i="2"/>
  <c r="C527" i="2"/>
  <c r="C583" i="2"/>
  <c r="C598" i="2"/>
  <c r="C737" i="2"/>
  <c r="C878" i="2"/>
  <c r="C893" i="2"/>
  <c r="C29" i="2"/>
  <c r="C47" i="2"/>
  <c r="C54" i="2"/>
  <c r="C98" i="2"/>
  <c r="C118" i="2"/>
  <c r="C125" i="2"/>
  <c r="C126" i="2"/>
  <c r="C138" i="2"/>
  <c r="C151" i="2"/>
  <c r="C188" i="2"/>
  <c r="C203" i="2"/>
  <c r="C213" i="2"/>
  <c r="C219" i="2"/>
  <c r="C225" i="2"/>
  <c r="C226" i="2"/>
  <c r="C241" i="2"/>
  <c r="C244" i="2"/>
  <c r="C258" i="2"/>
  <c r="C273" i="2"/>
  <c r="C275" i="2"/>
  <c r="C277" i="2"/>
  <c r="C287" i="2"/>
  <c r="C306" i="2"/>
  <c r="C314" i="2"/>
  <c r="C332" i="2"/>
  <c r="C345" i="2"/>
  <c r="C349" i="2"/>
  <c r="C362" i="2"/>
  <c r="C365" i="2"/>
  <c r="C372" i="2"/>
  <c r="C378" i="2"/>
  <c r="C400" i="2"/>
  <c r="C403" i="2"/>
  <c r="C416" i="2"/>
  <c r="C434" i="2"/>
  <c r="C445" i="2"/>
  <c r="C448" i="2"/>
  <c r="C453" i="2"/>
  <c r="C461" i="2"/>
  <c r="C497" i="2"/>
  <c r="C511" i="2"/>
  <c r="C520" i="2"/>
  <c r="C539" i="2"/>
  <c r="C554" i="2"/>
  <c r="C561" i="2"/>
  <c r="C572" i="2"/>
  <c r="C590" i="2"/>
  <c r="C606" i="2"/>
  <c r="C611" i="2"/>
  <c r="C650" i="2"/>
  <c r="C652" i="2"/>
  <c r="C692" i="2"/>
  <c r="C704" i="2"/>
  <c r="C711" i="2"/>
  <c r="C738" i="2"/>
  <c r="C744" i="2"/>
  <c r="C746" i="2"/>
  <c r="C789" i="2"/>
  <c r="C822" i="2"/>
  <c r="C848" i="2"/>
  <c r="C859" i="2"/>
  <c r="C873" i="2"/>
  <c r="C879" i="2"/>
  <c r="C883" i="2"/>
  <c r="C896" i="2"/>
  <c r="C913" i="2"/>
  <c r="C925" i="2"/>
  <c r="C947" i="2"/>
  <c r="C969" i="2"/>
  <c r="C973" i="2"/>
  <c r="C1032" i="2"/>
  <c r="C1068" i="2"/>
  <c r="C1074" i="2"/>
  <c r="C1081" i="2"/>
  <c r="C1087" i="2"/>
  <c r="C1117" i="2"/>
  <c r="C30" i="2"/>
  <c r="C162" i="2"/>
  <c r="C174" i="2"/>
  <c r="C265" i="2"/>
  <c r="C286" i="2"/>
  <c r="C292" i="2"/>
  <c r="C308" i="2"/>
  <c r="C311" i="2"/>
  <c r="C315" i="2"/>
  <c r="C363" i="2"/>
  <c r="C528" i="2"/>
  <c r="C555" i="2"/>
  <c r="C565" i="2"/>
  <c r="C618" i="2"/>
  <c r="C658" i="2"/>
  <c r="C679" i="2"/>
  <c r="C853" i="2"/>
  <c r="C870" i="2"/>
  <c r="C911" i="2"/>
  <c r="C915" i="2"/>
  <c r="C918" i="2"/>
  <c r="C919" i="2"/>
  <c r="C933" i="2"/>
  <c r="C971" i="2"/>
  <c r="C1033" i="2"/>
  <c r="C1036" i="2"/>
  <c r="C271" i="2"/>
  <c r="C282" i="2"/>
  <c r="C417" i="2"/>
  <c r="C31" i="2"/>
  <c r="C64" i="2"/>
  <c r="C69" i="2"/>
  <c r="C85" i="2"/>
  <c r="C104" i="2"/>
  <c r="C110" i="2"/>
  <c r="C175" i="2"/>
  <c r="C207" i="2"/>
  <c r="C214" i="2"/>
  <c r="C228" i="2"/>
  <c r="C262" i="2"/>
  <c r="C288" i="2"/>
  <c r="C303" i="2"/>
  <c r="C368" i="2"/>
  <c r="C376" i="2"/>
  <c r="C385" i="2"/>
  <c r="C437" i="2"/>
  <c r="C464" i="2"/>
  <c r="C466" i="2"/>
  <c r="C470" i="2"/>
  <c r="C543" i="2"/>
  <c r="C548" i="2"/>
  <c r="C588" i="2"/>
  <c r="C592" i="2"/>
  <c r="C654" i="2"/>
  <c r="C675" i="2"/>
  <c r="C705" i="2"/>
  <c r="C719" i="2"/>
  <c r="C724" i="2"/>
  <c r="C758" i="2"/>
  <c r="C791" i="2"/>
  <c r="C800" i="2"/>
  <c r="C855" i="2"/>
  <c r="C865" i="2"/>
  <c r="C871" i="2"/>
  <c r="C970" i="2"/>
  <c r="C1065" i="2"/>
  <c r="C1075" i="2"/>
  <c r="C1083" i="2"/>
  <c r="C1092" i="2"/>
  <c r="C157" i="2"/>
  <c r="C32" i="2"/>
  <c r="C55" i="2"/>
  <c r="C77" i="2"/>
  <c r="C81" i="2"/>
  <c r="C102" i="2"/>
  <c r="C149" i="2"/>
  <c r="C164" i="2"/>
  <c r="C166" i="2"/>
  <c r="C171" i="2"/>
  <c r="C180" i="2"/>
  <c r="C185" i="2"/>
  <c r="C204" i="2"/>
  <c r="C312" i="2"/>
  <c r="C324" i="2"/>
  <c r="C334" i="2"/>
  <c r="C338" i="2"/>
  <c r="C346" i="2"/>
  <c r="C377" i="2"/>
  <c r="C414" i="2"/>
  <c r="C435" i="2"/>
  <c r="C483" i="2"/>
  <c r="C498" i="2"/>
  <c r="C529" i="2"/>
  <c r="C535" i="2"/>
  <c r="C645" i="2"/>
  <c r="C676" i="2"/>
  <c r="C725" i="2"/>
  <c r="C779" i="2"/>
  <c r="C792" i="2"/>
  <c r="C798" i="2"/>
  <c r="C854" i="2"/>
  <c r="C930" i="2"/>
  <c r="C1037" i="2"/>
  <c r="C1040" i="2"/>
  <c r="C1043" i="2"/>
  <c r="C1059" i="2"/>
  <c r="C1077" i="2"/>
  <c r="C1082" i="2"/>
  <c r="C1113" i="2"/>
  <c r="C1114" i="2"/>
  <c r="C1118" i="2"/>
  <c r="C33" i="2"/>
  <c r="C221" i="2"/>
  <c r="C842" i="2"/>
  <c r="C1111" i="2"/>
  <c r="C34" i="2"/>
  <c r="C683" i="2"/>
  <c r="C974" i="2"/>
  <c r="C640" i="2"/>
  <c r="C562" i="2"/>
  <c r="C940" i="2"/>
  <c r="C694" i="2"/>
  <c r="C360" i="2"/>
  <c r="C571" i="2"/>
  <c r="C833" i="2"/>
  <c r="C687" i="2"/>
  <c r="C1110" i="2"/>
  <c r="C602" i="2"/>
  <c r="C333" i="2"/>
  <c r="C889" i="2"/>
  <c r="C1109" i="2"/>
  <c r="C1107" i="2"/>
  <c r="C1106" i="2"/>
  <c r="C493" i="2"/>
  <c r="C660" i="2"/>
  <c r="C379" i="2"/>
  <c r="C1052" i="2"/>
  <c r="C948" i="2"/>
  <c r="C167" i="2"/>
  <c r="C139" i="2"/>
  <c r="C796" i="2"/>
  <c r="C962" i="2"/>
  <c r="C1016" i="2"/>
  <c r="C979" i="2"/>
  <c r="C487" i="2"/>
  <c r="C949" i="2"/>
  <c r="C713" i="2"/>
  <c r="C499" i="2"/>
  <c r="C410" i="2"/>
  <c r="C317" i="2"/>
  <c r="C980" i="2"/>
  <c r="C961" i="2"/>
  <c r="C235" i="2"/>
  <c r="C58" i="2"/>
  <c r="C629" i="2"/>
  <c r="C1119" i="2"/>
  <c r="C291" i="2"/>
  <c r="C762" i="2"/>
  <c r="C664" i="2"/>
  <c r="C191" i="2"/>
  <c r="C136" i="2"/>
  <c r="C834" i="2"/>
  <c r="C49" i="2"/>
  <c r="C490" i="2"/>
  <c r="C170" i="2"/>
  <c r="C799" i="2"/>
  <c r="C371" i="2"/>
  <c r="C441" i="2"/>
  <c r="C603" i="2"/>
  <c r="C488" i="2"/>
  <c r="C1038" i="2"/>
  <c r="C1085" i="2"/>
  <c r="C671" i="2"/>
  <c r="C532" i="2"/>
  <c r="C459" i="2"/>
  <c r="C522" i="2"/>
  <c r="C984" i="2"/>
  <c r="C230" i="2"/>
  <c r="C458" i="2"/>
  <c r="C860" i="2"/>
  <c r="C456" i="2"/>
  <c r="C941" i="2"/>
  <c r="C684" i="2"/>
  <c r="C678" i="2"/>
  <c r="C530" i="2"/>
  <c r="C300" i="2"/>
  <c r="C229" i="2"/>
  <c r="C192" i="2"/>
  <c r="C890" i="2"/>
  <c r="C454" i="2"/>
  <c r="C355" i="2"/>
  <c r="C647" i="2"/>
  <c r="C579" i="2"/>
  <c r="C59" i="2"/>
  <c r="C903" i="2"/>
  <c r="C891" i="2"/>
  <c r="C801" i="2"/>
  <c r="C2" i="2"/>
  <c r="D640" i="2" l="1"/>
  <c r="D562" i="2"/>
  <c r="D940" i="2"/>
  <c r="D694" i="2"/>
  <c r="D360" i="2"/>
  <c r="D571" i="2"/>
  <c r="D833" i="2"/>
  <c r="D687" i="2"/>
  <c r="D1110" i="2"/>
  <c r="D602" i="2"/>
  <c r="D333" i="2"/>
  <c r="D889" i="2"/>
  <c r="D1109" i="2"/>
  <c r="D1107" i="2"/>
  <c r="D1106" i="2"/>
  <c r="D493" i="2"/>
  <c r="D660" i="2"/>
  <c r="D379" i="2"/>
  <c r="D1052" i="2"/>
  <c r="D948" i="2"/>
  <c r="D167" i="2"/>
  <c r="D139" i="2"/>
  <c r="D796" i="2"/>
  <c r="D962" i="2"/>
  <c r="D1016" i="2"/>
  <c r="D979" i="2"/>
  <c r="D487" i="2"/>
  <c r="D949" i="2"/>
  <c r="D713" i="2"/>
  <c r="D499" i="2"/>
  <c r="D410" i="2"/>
  <c r="D317" i="2"/>
  <c r="D980" i="2"/>
  <c r="D961" i="2"/>
  <c r="D235" i="2"/>
  <c r="D58" i="2"/>
  <c r="D629" i="2"/>
  <c r="D747" i="2"/>
  <c r="D291" i="2"/>
  <c r="D762" i="2"/>
  <c r="D664" i="2"/>
  <c r="D191" i="2"/>
  <c r="D136" i="2"/>
  <c r="D834" i="2"/>
  <c r="D49" i="2"/>
  <c r="D490" i="2"/>
  <c r="D170" i="2"/>
  <c r="D799" i="2"/>
  <c r="D371" i="2"/>
  <c r="D441" i="2"/>
  <c r="D603" i="2"/>
  <c r="D488" i="2"/>
  <c r="D1038" i="2"/>
  <c r="D1085" i="2"/>
  <c r="D671" i="2"/>
  <c r="D532" i="2"/>
  <c r="D459" i="2"/>
  <c r="D522" i="2"/>
  <c r="D984" i="2"/>
  <c r="D230" i="2"/>
  <c r="D458" i="2"/>
  <c r="D860" i="2"/>
  <c r="D456" i="2"/>
  <c r="D941" i="2"/>
  <c r="D684" i="2"/>
  <c r="D678" i="2"/>
  <c r="D530" i="2"/>
  <c r="D300" i="2"/>
  <c r="D229" i="2"/>
  <c r="D192" i="2"/>
  <c r="D890" i="2"/>
  <c r="D454" i="2"/>
  <c r="D355" i="2"/>
  <c r="D647" i="2"/>
  <c r="D579" i="2"/>
  <c r="D59" i="2"/>
  <c r="D903" i="2"/>
  <c r="D891" i="2"/>
  <c r="D801" i="2"/>
  <c r="D536" i="2"/>
  <c r="D540" i="2"/>
  <c r="D696" i="2"/>
  <c r="D847" i="2"/>
  <c r="D1002" i="2"/>
  <c r="D3" i="2"/>
  <c r="D35" i="2"/>
  <c r="D37" i="2"/>
  <c r="D56" i="2"/>
  <c r="D66" i="2"/>
  <c r="D70" i="2"/>
  <c r="D72" i="2"/>
  <c r="D75" i="2"/>
  <c r="D78" i="2"/>
  <c r="D79" i="2"/>
  <c r="D86" i="2"/>
  <c r="D87" i="2"/>
  <c r="D94" i="2"/>
  <c r="D106" i="2"/>
  <c r="D128" i="2"/>
  <c r="D137" i="2"/>
  <c r="D140" i="2"/>
  <c r="D150" i="2"/>
  <c r="D154" i="2"/>
  <c r="D165" i="2"/>
  <c r="D168" i="2"/>
  <c r="D176" i="2"/>
  <c r="D182" i="2"/>
  <c r="D189" i="2"/>
  <c r="D199" i="2"/>
  <c r="D201" i="2"/>
  <c r="D202" i="2"/>
  <c r="D205" i="2"/>
  <c r="D208" i="2"/>
  <c r="D215" i="2"/>
  <c r="D233" i="2"/>
  <c r="D256" i="2"/>
  <c r="D259" i="2"/>
  <c r="D274" i="2"/>
  <c r="D313" i="2"/>
  <c r="D318" i="2"/>
  <c r="D322" i="2"/>
  <c r="D339" i="2"/>
  <c r="D361" i="2"/>
  <c r="D364" i="2"/>
  <c r="D384" i="2"/>
  <c r="D412" i="2"/>
  <c r="D418" i="2"/>
  <c r="D421" i="2"/>
  <c r="D424" i="2"/>
  <c r="D429" i="2"/>
  <c r="D442" i="2"/>
  <c r="D462" i="2"/>
  <c r="D471" i="2"/>
  <c r="D477" i="2"/>
  <c r="D481" i="2"/>
  <c r="D485" i="2"/>
  <c r="D494" i="2"/>
  <c r="D503" i="2"/>
  <c r="D514" i="2"/>
  <c r="D524" i="2"/>
  <c r="D546" i="2"/>
  <c r="D559" i="2"/>
  <c r="D580" i="2"/>
  <c r="D609" i="2"/>
  <c r="D619" i="2"/>
  <c r="D622" i="2"/>
  <c r="D634" i="2"/>
  <c r="D642" i="2"/>
  <c r="D651" i="2"/>
  <c r="D698" i="2"/>
  <c r="D749" i="2"/>
  <c r="D755" i="2"/>
  <c r="D761" i="2"/>
  <c r="D775" i="2"/>
  <c r="D780" i="2"/>
  <c r="D786" i="2"/>
  <c r="D802" i="2"/>
  <c r="D803" i="2"/>
  <c r="D808" i="2"/>
  <c r="D811" i="2"/>
  <c r="D813" i="2"/>
  <c r="D817" i="2"/>
  <c r="D823" i="2"/>
  <c r="D827" i="2"/>
  <c r="D828" i="2"/>
  <c r="D838" i="2"/>
  <c r="D840" i="2"/>
  <c r="D843" i="2"/>
  <c r="D849" i="2"/>
  <c r="D861" i="2"/>
  <c r="D872" i="2"/>
  <c r="D886" i="2"/>
  <c r="D897" i="2"/>
  <c r="D907" i="2"/>
  <c r="D927" i="2"/>
  <c r="D960" i="2"/>
  <c r="D993" i="2"/>
  <c r="D994" i="2"/>
  <c r="D997" i="2"/>
  <c r="D1018" i="2"/>
  <c r="D1047" i="2"/>
  <c r="D1060" i="2"/>
  <c r="D1064" i="2"/>
  <c r="D1069" i="2"/>
  <c r="D1070" i="2"/>
  <c r="D1072" i="2"/>
  <c r="D1088" i="2"/>
  <c r="D1101" i="2"/>
  <c r="D1112" i="2"/>
  <c r="D1115" i="2"/>
  <c r="D1119" i="2"/>
  <c r="D67" i="2"/>
  <c r="D113" i="2"/>
  <c r="D366" i="2"/>
  <c r="D844" i="2"/>
  <c r="D735" i="2"/>
  <c r="D513" i="2"/>
  <c r="D584" i="2"/>
  <c r="D784" i="2"/>
  <c r="D977" i="2"/>
  <c r="D690" i="2"/>
  <c r="D910" i="2"/>
  <c r="D587" i="2"/>
  <c r="D794" i="2"/>
  <c r="D943" i="2"/>
  <c r="D328" i="2"/>
  <c r="D430" i="2"/>
  <c r="D765" i="2"/>
  <c r="D4" i="2"/>
  <c r="D109" i="2"/>
  <c r="D406" i="2"/>
  <c r="D928" i="2"/>
  <c r="D999" i="2"/>
  <c r="D5" i="2"/>
  <c r="D726" i="2"/>
  <c r="D119" i="2"/>
  <c r="D193" i="2"/>
  <c r="D198" i="2"/>
  <c r="D398" i="2"/>
  <c r="D491" i="2"/>
  <c r="D558" i="2"/>
  <c r="D573" i="2"/>
  <c r="D577" i="2"/>
  <c r="D672" i="2"/>
  <c r="D709" i="2"/>
  <c r="D720" i="2"/>
  <c r="D721" i="2"/>
  <c r="D739" i="2"/>
  <c r="D777" i="2"/>
  <c r="D805" i="2"/>
  <c r="D806" i="2"/>
  <c r="D862" i="2"/>
  <c r="D884" i="2"/>
  <c r="D954" i="2"/>
  <c r="D966" i="2"/>
  <c r="D1041" i="2"/>
  <c r="D1062" i="2"/>
  <c r="D6" i="2"/>
  <c r="D7" i="2"/>
  <c r="D825" i="2"/>
  <c r="D38" i="2"/>
  <c r="D82" i="2"/>
  <c r="D99" i="2"/>
  <c r="D108" i="2"/>
  <c r="D197" i="2"/>
  <c r="D217" i="2"/>
  <c r="D252" i="2"/>
  <c r="D278" i="2"/>
  <c r="D293" i="2"/>
  <c r="D325" i="2"/>
  <c r="D336" i="2"/>
  <c r="D407" i="2"/>
  <c r="D566" i="2"/>
  <c r="D574" i="2"/>
  <c r="D581" i="2"/>
  <c r="D585" i="2"/>
  <c r="D599" i="2"/>
  <c r="D610" i="2"/>
  <c r="D614" i="2"/>
  <c r="D635" i="2"/>
  <c r="D710" i="2"/>
  <c r="D750" i="2"/>
  <c r="D772" i="2"/>
  <c r="D793" i="2"/>
  <c r="D812" i="2"/>
  <c r="D815" i="2"/>
  <c r="D820" i="2"/>
  <c r="D821" i="2"/>
  <c r="D824" i="2"/>
  <c r="D850" i="2"/>
  <c r="D857" i="2"/>
  <c r="D880" i="2"/>
  <c r="D894" i="2"/>
  <c r="D937" i="2"/>
  <c r="D957" i="2"/>
  <c r="D982" i="2"/>
  <c r="D1020" i="2"/>
  <c r="D1046" i="2"/>
  <c r="D1049" i="2"/>
  <c r="D1089" i="2"/>
  <c r="D1116" i="2"/>
  <c r="D8" i="2"/>
  <c r="D60" i="2"/>
  <c r="D316" i="2"/>
  <c r="D626" i="2"/>
  <c r="D195" i="2"/>
  <c r="D9" i="2"/>
  <c r="D90" i="2"/>
  <c r="D95" i="2"/>
  <c r="D130" i="2"/>
  <c r="D143" i="2"/>
  <c r="D152" i="2"/>
  <c r="D153" i="2"/>
  <c r="D155" i="2"/>
  <c r="D186" i="2"/>
  <c r="D222" i="2"/>
  <c r="D240" i="2"/>
  <c r="D245" i="2"/>
  <c r="D248" i="2"/>
  <c r="D250" i="2"/>
  <c r="D251" i="2"/>
  <c r="D253" i="2"/>
  <c r="D264" i="2"/>
  <c r="D279" i="2"/>
  <c r="D284" i="2"/>
  <c r="D289" i="2"/>
  <c r="D294" i="2"/>
  <c r="D297" i="2"/>
  <c r="D301" i="2"/>
  <c r="D309" i="2"/>
  <c r="D319" i="2"/>
  <c r="D326" i="2"/>
  <c r="D337" i="2"/>
  <c r="D373" i="2"/>
  <c r="D394" i="2"/>
  <c r="D399" i="2"/>
  <c r="D404" i="2"/>
  <c r="D426" i="2"/>
  <c r="D443" i="2"/>
  <c r="D449" i="2"/>
  <c r="D480" i="2"/>
  <c r="D484" i="2"/>
  <c r="D486" i="2"/>
  <c r="D504" i="2"/>
  <c r="D534" i="2"/>
  <c r="D541" i="2"/>
  <c r="D560" i="2"/>
  <c r="D586" i="2"/>
  <c r="D596" i="2"/>
  <c r="D604" i="2"/>
  <c r="D607" i="2"/>
  <c r="D612" i="2"/>
  <c r="D620" i="2"/>
  <c r="D623" i="2"/>
  <c r="D637" i="2"/>
  <c r="D641" i="2"/>
  <c r="D648" i="2"/>
  <c r="D657" i="2"/>
  <c r="D659" i="2"/>
  <c r="D665" i="2"/>
  <c r="D668" i="2"/>
  <c r="D677" i="2"/>
  <c r="D688" i="2"/>
  <c r="D691" i="2"/>
  <c r="D695" i="2"/>
  <c r="D701" i="2"/>
  <c r="D751" i="2"/>
  <c r="D769" i="2"/>
  <c r="D773" i="2"/>
  <c r="D804" i="2"/>
  <c r="D807" i="2"/>
  <c r="D810" i="2"/>
  <c r="D839" i="2"/>
  <c r="D845" i="2"/>
  <c r="D866" i="2"/>
  <c r="D876" i="2"/>
  <c r="D887" i="2"/>
  <c r="D898" i="2"/>
  <c r="D901" i="2"/>
  <c r="D905" i="2"/>
  <c r="D921" i="2"/>
  <c r="D926" i="2"/>
  <c r="D931" i="2"/>
  <c r="D944" i="2"/>
  <c r="D952" i="2"/>
  <c r="D956" i="2"/>
  <c r="D963" i="2"/>
  <c r="D964" i="2"/>
  <c r="D975" i="2"/>
  <c r="D976" i="2"/>
  <c r="D995" i="2"/>
  <c r="D1003" i="2"/>
  <c r="D1010" i="2"/>
  <c r="D1012" i="2"/>
  <c r="D1017" i="2"/>
  <c r="D1021" i="2"/>
  <c r="D1024" i="2"/>
  <c r="D1027" i="2"/>
  <c r="D1030" i="2"/>
  <c r="D1035" i="2"/>
  <c r="D1042" i="2"/>
  <c r="D1044" i="2"/>
  <c r="D1048" i="2"/>
  <c r="D1054" i="2"/>
  <c r="D1073" i="2"/>
  <c r="D1098" i="2"/>
  <c r="D1120" i="2"/>
  <c r="D83" i="2"/>
  <c r="D103" i="2"/>
  <c r="D950" i="2"/>
  <c r="D10" i="2"/>
  <c r="D44" i="2"/>
  <c r="D84" i="2"/>
  <c r="D91" i="2"/>
  <c r="D131" i="2"/>
  <c r="D236" i="2"/>
  <c r="D374" i="2"/>
  <c r="D505" i="2"/>
  <c r="D575" i="2"/>
  <c r="D589" i="2"/>
  <c r="D591" i="2"/>
  <c r="D630" i="2"/>
  <c r="D643" i="2"/>
  <c r="D661" i="2"/>
  <c r="D680" i="2"/>
  <c r="D699" i="2"/>
  <c r="D790" i="2"/>
  <c r="D818" i="2"/>
  <c r="D835" i="2"/>
  <c r="D841" i="2"/>
  <c r="D1079" i="2"/>
  <c r="D1090" i="2"/>
  <c r="D1096" i="2"/>
  <c r="D11" i="2"/>
  <c r="D65" i="2"/>
  <c r="D141" i="2"/>
  <c r="D209" i="2"/>
  <c r="D266" i="2"/>
  <c r="D335" i="2"/>
  <c r="D350" i="2"/>
  <c r="D544" i="2"/>
  <c r="D600" i="2"/>
  <c r="D621" i="2"/>
  <c r="D763" i="2"/>
  <c r="D781" i="2"/>
  <c r="D945" i="2"/>
  <c r="D951" i="2"/>
  <c r="D986" i="2"/>
  <c r="D269" i="2"/>
  <c r="D12" i="2"/>
  <c r="D42" i="2"/>
  <c r="D177" i="2"/>
  <c r="D196" i="2"/>
  <c r="D223" i="2"/>
  <c r="D307" i="2"/>
  <c r="D340" i="2"/>
  <c r="D359" i="2"/>
  <c r="D380" i="2"/>
  <c r="D425" i="2"/>
  <c r="D450" i="2"/>
  <c r="D545" i="2"/>
  <c r="D567" i="2"/>
  <c r="D582" i="2"/>
  <c r="D13" i="2"/>
  <c r="D92" i="2"/>
  <c r="D114" i="2"/>
  <c r="D148" i="2"/>
  <c r="D158" i="2"/>
  <c r="D183" i="2"/>
  <c r="D194" i="2"/>
  <c r="D200" i="2"/>
  <c r="D280" i="2"/>
  <c r="D351" i="2"/>
  <c r="D392" i="2"/>
  <c r="D408" i="2"/>
  <c r="D431" i="2"/>
  <c r="D473" i="2"/>
  <c r="D482" i="2"/>
  <c r="D516" i="2"/>
  <c r="D519" i="2"/>
  <c r="D551" i="2"/>
  <c r="D593" i="2"/>
  <c r="D597" i="2"/>
  <c r="D615" i="2"/>
  <c r="D662" i="2"/>
  <c r="D666" i="2"/>
  <c r="D689" i="2"/>
  <c r="D706" i="2"/>
  <c r="D740" i="2"/>
  <c r="D756" i="2"/>
  <c r="D797" i="2"/>
  <c r="D908" i="2"/>
  <c r="D934" i="2"/>
  <c r="D958" i="2"/>
  <c r="D983" i="2"/>
  <c r="D987" i="2"/>
  <c r="D1013" i="2"/>
  <c r="D1019" i="2"/>
  <c r="D1034" i="2"/>
  <c r="D1039" i="2"/>
  <c r="D1057" i="2"/>
  <c r="D1005" i="2"/>
  <c r="D1086" i="2"/>
  <c r="D386" i="2"/>
  <c r="D1055" i="2"/>
  <c r="D1071" i="2"/>
  <c r="D14" i="2"/>
  <c r="D43" i="2"/>
  <c r="D45" i="2"/>
  <c r="D71" i="2"/>
  <c r="D88" i="2"/>
  <c r="D107" i="2"/>
  <c r="D238" i="2"/>
  <c r="D242" i="2"/>
  <c r="D305" i="2"/>
  <c r="D320" i="2"/>
  <c r="D341" i="2"/>
  <c r="D396" i="2"/>
  <c r="D419" i="2"/>
  <c r="D507" i="2"/>
  <c r="D525" i="2"/>
  <c r="D667" i="2"/>
  <c r="D712" i="2"/>
  <c r="D731" i="2"/>
  <c r="D785" i="2"/>
  <c r="D916" i="2"/>
  <c r="D967" i="2"/>
  <c r="D990" i="2"/>
  <c r="D15" i="2"/>
  <c r="D39" i="2"/>
  <c r="D61" i="2"/>
  <c r="D93" i="2"/>
  <c r="D112" i="2"/>
  <c r="D115" i="2"/>
  <c r="D117" i="2"/>
  <c r="D145" i="2"/>
  <c r="D190" i="2"/>
  <c r="D210" i="2"/>
  <c r="D218" i="2"/>
  <c r="D267" i="2"/>
  <c r="D329" i="2"/>
  <c r="D342" i="2"/>
  <c r="D478" i="2"/>
  <c r="D549" i="2"/>
  <c r="D568" i="2"/>
  <c r="D594" i="2"/>
  <c r="D638" i="2"/>
  <c r="D644" i="2"/>
  <c r="D752" i="2"/>
  <c r="D774" i="2"/>
  <c r="D787" i="2"/>
  <c r="D991" i="2"/>
  <c r="D1007" i="2"/>
  <c r="D1022" i="2"/>
  <c r="D16" i="2"/>
  <c r="D111" i="2"/>
  <c r="D122" i="2"/>
  <c r="D134" i="2"/>
  <c r="D224" i="2"/>
  <c r="D227" i="2"/>
  <c r="D247" i="2"/>
  <c r="D254" i="2"/>
  <c r="D409" i="2"/>
  <c r="D467" i="2"/>
  <c r="D550" i="2"/>
  <c r="D556" i="2"/>
  <c r="D605" i="2"/>
  <c r="D608" i="2"/>
  <c r="D649" i="2"/>
  <c r="D717" i="2"/>
  <c r="D732" i="2"/>
  <c r="D745" i="2"/>
  <c r="D753" i="2"/>
  <c r="D759" i="2"/>
  <c r="D829" i="2"/>
  <c r="D851" i="2"/>
  <c r="D856" i="2"/>
  <c r="D863" i="2"/>
  <c r="D868" i="2"/>
  <c r="D877" i="2"/>
  <c r="D888" i="2"/>
  <c r="D1014" i="2"/>
  <c r="D1025" i="2"/>
  <c r="D1066" i="2"/>
  <c r="D17" i="2"/>
  <c r="D51" i="2"/>
  <c r="D73" i="2"/>
  <c r="D80" i="2"/>
  <c r="D100" i="2"/>
  <c r="D129" i="2"/>
  <c r="D142" i="2"/>
  <c r="D146" i="2"/>
  <c r="D169" i="2"/>
  <c r="D172" i="2"/>
  <c r="D179" i="2"/>
  <c r="D206" i="2"/>
  <c r="D212" i="2"/>
  <c r="D216" i="2"/>
  <c r="D239" i="2"/>
  <c r="D243" i="2"/>
  <c r="D246" i="2"/>
  <c r="D249" i="2"/>
  <c r="D260" i="2"/>
  <c r="D283" i="2"/>
  <c r="D298" i="2"/>
  <c r="D330" i="2"/>
  <c r="D353" i="2"/>
  <c r="D356" i="2"/>
  <c r="D369" i="2"/>
  <c r="D381" i="2"/>
  <c r="D383" i="2"/>
  <c r="D387" i="2"/>
  <c r="D390" i="2"/>
  <c r="D393" i="2"/>
  <c r="D395" i="2"/>
  <c r="D397" i="2"/>
  <c r="D401" i="2"/>
  <c r="D405" i="2"/>
  <c r="D415" i="2"/>
  <c r="D420" i="2"/>
  <c r="D427" i="2"/>
  <c r="D438" i="2"/>
  <c r="D444" i="2"/>
  <c r="D447" i="2"/>
  <c r="D452" i="2"/>
  <c r="D457" i="2"/>
  <c r="D492" i="2"/>
  <c r="D495" i="2"/>
  <c r="D512" i="2"/>
  <c r="D517" i="2"/>
  <c r="D533" i="2"/>
  <c r="D542" i="2"/>
  <c r="D563" i="2"/>
  <c r="D569" i="2"/>
  <c r="D578" i="2"/>
  <c r="D616" i="2"/>
  <c r="D627" i="2"/>
  <c r="D631" i="2"/>
  <c r="D632" i="2"/>
  <c r="D633" i="2"/>
  <c r="D639" i="2"/>
  <c r="D655" i="2"/>
  <c r="D663" i="2"/>
  <c r="D681" i="2"/>
  <c r="D685" i="2"/>
  <c r="D693" i="2"/>
  <c r="D736" i="2"/>
  <c r="D754" i="2"/>
  <c r="D764" i="2"/>
  <c r="D766" i="2"/>
  <c r="D768" i="2"/>
  <c r="D770" i="2"/>
  <c r="D782" i="2"/>
  <c r="D809" i="2"/>
  <c r="D814" i="2"/>
  <c r="D819" i="2"/>
  <c r="D826" i="2"/>
  <c r="D836" i="2"/>
  <c r="D920" i="2"/>
  <c r="D929" i="2"/>
  <c r="D932" i="2"/>
  <c r="D935" i="2"/>
  <c r="D938" i="2"/>
  <c r="D946" i="2"/>
  <c r="D955" i="2"/>
  <c r="D965" i="2"/>
  <c r="D972" i="2"/>
  <c r="D978" i="2"/>
  <c r="D981" i="2"/>
  <c r="D985" i="2"/>
  <c r="D988" i="2"/>
  <c r="D998" i="2"/>
  <c r="D1000" i="2"/>
  <c r="D1006" i="2"/>
  <c r="D1011" i="2"/>
  <c r="D1026" i="2"/>
  <c r="D1028" i="2"/>
  <c r="D1051" i="2"/>
  <c r="D1053" i="2"/>
  <c r="D1056" i="2"/>
  <c r="D1058" i="2"/>
  <c r="D1063" i="2"/>
  <c r="D1076" i="2"/>
  <c r="D1080" i="2"/>
  <c r="D1091" i="2"/>
  <c r="D1095" i="2"/>
  <c r="D1097" i="2"/>
  <c r="D1102" i="2"/>
  <c r="D1121" i="2"/>
  <c r="D1122" i="2"/>
  <c r="D18" i="2"/>
  <c r="D837" i="2"/>
  <c r="D1099" i="2"/>
  <c r="D1100" i="2"/>
  <c r="D19" i="2"/>
  <c r="D48" i="2"/>
  <c r="D62" i="2"/>
  <c r="D261" i="2"/>
  <c r="D123" i="2"/>
  <c r="D132" i="2"/>
  <c r="D1029" i="2"/>
  <c r="D1108" i="2"/>
  <c r="D20" i="2"/>
  <c r="D40" i="2"/>
  <c r="D46" i="2"/>
  <c r="D50" i="2"/>
  <c r="D53" i="2"/>
  <c r="D63" i="2"/>
  <c r="D187" i="2"/>
  <c r="D327" i="2"/>
  <c r="D402" i="2"/>
  <c r="D413" i="2"/>
  <c r="D436" i="2"/>
  <c r="D465" i="2"/>
  <c r="D475" i="2"/>
  <c r="D476" i="2"/>
  <c r="D500" i="2"/>
  <c r="D518" i="2"/>
  <c r="D628" i="2"/>
  <c r="D653" i="2"/>
  <c r="D669" i="2"/>
  <c r="D682" i="2"/>
  <c r="D686" i="2"/>
  <c r="D707" i="2"/>
  <c r="D714" i="2"/>
  <c r="D788" i="2"/>
  <c r="D830" i="2"/>
  <c r="D846" i="2"/>
  <c r="D867" i="2"/>
  <c r="D968" i="2"/>
  <c r="D996" i="2"/>
  <c r="D1001" i="2"/>
  <c r="D1009" i="2"/>
  <c r="D1015" i="2"/>
  <c r="D1103" i="2"/>
  <c r="D21" i="2"/>
  <c r="D74" i="2"/>
  <c r="D120" i="2"/>
  <c r="D135" i="2"/>
  <c r="D144" i="2"/>
  <c r="D159" i="2"/>
  <c r="D382" i="2"/>
  <c r="D501" i="2"/>
  <c r="D557" i="2"/>
  <c r="D570" i="2"/>
  <c r="D722" i="2"/>
  <c r="D816" i="2"/>
  <c r="D1061" i="2"/>
  <c r="D1067" i="2"/>
  <c r="D1093" i="2"/>
  <c r="D121" i="2"/>
  <c r="D68" i="2"/>
  <c r="D101" i="2"/>
  <c r="D105" i="2"/>
  <c r="D220" i="2"/>
  <c r="D231" i="2"/>
  <c r="D255" i="2"/>
  <c r="D268" i="2"/>
  <c r="D354" i="2"/>
  <c r="D367" i="2"/>
  <c r="D391" i="2"/>
  <c r="D432" i="2"/>
  <c r="D601" i="2"/>
  <c r="D700" i="2"/>
  <c r="D703" i="2"/>
  <c r="D715" i="2"/>
  <c r="D718" i="2"/>
  <c r="D733" i="2"/>
  <c r="D776" i="2"/>
  <c r="D831" i="2"/>
  <c r="D864" i="2"/>
  <c r="D900" i="2"/>
  <c r="D912" i="2"/>
  <c r="D914" i="2"/>
  <c r="D922" i="2"/>
  <c r="D939" i="2"/>
  <c r="D1004" i="2"/>
  <c r="D1123" i="2"/>
  <c r="D1124" i="2"/>
  <c r="D22" i="2"/>
  <c r="D23" i="2"/>
  <c r="D41" i="2"/>
  <c r="D160" i="2"/>
  <c r="D173" i="2"/>
  <c r="D211" i="2"/>
  <c r="D295" i="2"/>
  <c r="D302" i="2"/>
  <c r="D347" i="2"/>
  <c r="D370" i="2"/>
  <c r="D388" i="2"/>
  <c r="D422" i="2"/>
  <c r="D433" i="2"/>
  <c r="D451" i="2"/>
  <c r="D455" i="2"/>
  <c r="D468" i="2"/>
  <c r="D489" i="2"/>
  <c r="D526" i="2"/>
  <c r="D595" i="2"/>
  <c r="D728" i="2"/>
  <c r="D741" i="2"/>
  <c r="D748" i="2"/>
  <c r="D760" i="2"/>
  <c r="D778" i="2"/>
  <c r="D874" i="2"/>
  <c r="D881" i="2"/>
  <c r="D895" i="2"/>
  <c r="D917" i="2"/>
  <c r="D24" i="2"/>
  <c r="D52" i="2"/>
  <c r="D57" i="2"/>
  <c r="D76" i="2"/>
  <c r="D96" i="2"/>
  <c r="D124" i="2"/>
  <c r="D127" i="2"/>
  <c r="D161" i="2"/>
  <c r="D263" i="2"/>
  <c r="D272" i="2"/>
  <c r="D276" i="2"/>
  <c r="D285" i="2"/>
  <c r="D299" i="2"/>
  <c r="D304" i="2"/>
  <c r="D310" i="2"/>
  <c r="D323" i="2"/>
  <c r="D343" i="2"/>
  <c r="D348" i="2"/>
  <c r="D352" i="2"/>
  <c r="D357" i="2"/>
  <c r="D389" i="2"/>
  <c r="D428" i="2"/>
  <c r="D439" i="2"/>
  <c r="D446" i="2"/>
  <c r="D469" i="2"/>
  <c r="D472" i="2"/>
  <c r="D474" i="2"/>
  <c r="D502" i="2"/>
  <c r="D506" i="2"/>
  <c r="D509" i="2"/>
  <c r="D515" i="2"/>
  <c r="D523" i="2"/>
  <c r="D537" i="2"/>
  <c r="D547" i="2"/>
  <c r="D552" i="2"/>
  <c r="D564" i="2"/>
  <c r="D576" i="2"/>
  <c r="D617" i="2"/>
  <c r="D624" i="2"/>
  <c r="D636" i="2"/>
  <c r="D656" i="2"/>
  <c r="D673" i="2"/>
  <c r="D697" i="2"/>
  <c r="D723" i="2"/>
  <c r="D727" i="2"/>
  <c r="D742" i="2"/>
  <c r="D757" i="2"/>
  <c r="D783" i="2"/>
  <c r="D795" i="2"/>
  <c r="D869" i="2"/>
  <c r="D882" i="2"/>
  <c r="D885" i="2"/>
  <c r="D892" i="2"/>
  <c r="D902" i="2"/>
  <c r="D904" i="2"/>
  <c r="D906" i="2"/>
  <c r="D909" i="2"/>
  <c r="D923" i="2"/>
  <c r="D989" i="2"/>
  <c r="D992" i="2"/>
  <c r="D1045" i="2"/>
  <c r="D1050" i="2"/>
  <c r="D1104" i="2"/>
  <c r="D25" i="2"/>
  <c r="D36" i="2"/>
  <c r="D97" i="2"/>
  <c r="D147" i="2"/>
  <c r="D156" i="2"/>
  <c r="D178" i="2"/>
  <c r="D181" i="2"/>
  <c r="D234" i="2"/>
  <c r="D237" i="2"/>
  <c r="D270" i="2"/>
  <c r="D296" i="2"/>
  <c r="D321" i="2"/>
  <c r="D331" i="2"/>
  <c r="D344" i="2"/>
  <c r="D358" i="2"/>
  <c r="D423" i="2"/>
  <c r="D460" i="2"/>
  <c r="D463" i="2"/>
  <c r="D496" i="2"/>
  <c r="D510" i="2"/>
  <c r="D521" i="2"/>
  <c r="D538" i="2"/>
  <c r="D553" i="2"/>
  <c r="D625" i="2"/>
  <c r="D646" i="2"/>
  <c r="D670" i="2"/>
  <c r="D674" i="2"/>
  <c r="D716" i="2"/>
  <c r="D771" i="2"/>
  <c r="D832" i="2"/>
  <c r="D852" i="2"/>
  <c r="D858" i="2"/>
  <c r="D875" i="2"/>
  <c r="D924" i="2"/>
  <c r="D936" i="2"/>
  <c r="D1008" i="2"/>
  <c r="D1023" i="2"/>
  <c r="D1031" i="2"/>
  <c r="D1084" i="2"/>
  <c r="D1094" i="2"/>
  <c r="D26" i="2"/>
  <c r="D290" i="2"/>
  <c r="D440" i="2"/>
  <c r="D729" i="2"/>
  <c r="D730" i="2"/>
  <c r="D734" i="2"/>
  <c r="D743" i="2"/>
  <c r="D942" i="2"/>
  <c r="D953" i="2"/>
  <c r="D959" i="2"/>
  <c r="D1078" i="2"/>
  <c r="D1105" i="2"/>
  <c r="D27" i="2"/>
  <c r="D163" i="2"/>
  <c r="D184" i="2"/>
  <c r="D257" i="2"/>
  <c r="D281" i="2"/>
  <c r="D375" i="2"/>
  <c r="D411" i="2"/>
  <c r="D531" i="2"/>
  <c r="D613" i="2"/>
  <c r="D708" i="2"/>
  <c r="D767" i="2"/>
  <c r="D899" i="2"/>
  <c r="D479" i="2"/>
  <c r="D702" i="2"/>
  <c r="D28" i="2"/>
  <c r="D89" i="2"/>
  <c r="D116" i="2"/>
  <c r="D133" i="2"/>
  <c r="D232" i="2"/>
  <c r="D508" i="2"/>
  <c r="D527" i="2"/>
  <c r="D583" i="2"/>
  <c r="D598" i="2"/>
  <c r="D737" i="2"/>
  <c r="D878" i="2"/>
  <c r="D893" i="2"/>
  <c r="D29" i="2"/>
  <c r="D47" i="2"/>
  <c r="D54" i="2"/>
  <c r="D98" i="2"/>
  <c r="D118" i="2"/>
  <c r="D125" i="2"/>
  <c r="D126" i="2"/>
  <c r="D138" i="2"/>
  <c r="D151" i="2"/>
  <c r="D188" i="2"/>
  <c r="D203" i="2"/>
  <c r="D213" i="2"/>
  <c r="D219" i="2"/>
  <c r="D225" i="2"/>
  <c r="D226" i="2"/>
  <c r="D241" i="2"/>
  <c r="D244" i="2"/>
  <c r="D258" i="2"/>
  <c r="D273" i="2"/>
  <c r="D275" i="2"/>
  <c r="D277" i="2"/>
  <c r="D287" i="2"/>
  <c r="D306" i="2"/>
  <c r="D314" i="2"/>
  <c r="D332" i="2"/>
  <c r="D345" i="2"/>
  <c r="D349" i="2"/>
  <c r="D362" i="2"/>
  <c r="D365" i="2"/>
  <c r="D372" i="2"/>
  <c r="D378" i="2"/>
  <c r="D400" i="2"/>
  <c r="D403" i="2"/>
  <c r="D416" i="2"/>
  <c r="D434" i="2"/>
  <c r="D445" i="2"/>
  <c r="D448" i="2"/>
  <c r="D453" i="2"/>
  <c r="D461" i="2"/>
  <c r="D497" i="2"/>
  <c r="D511" i="2"/>
  <c r="D520" i="2"/>
  <c r="D539" i="2"/>
  <c r="D554" i="2"/>
  <c r="D561" i="2"/>
  <c r="D572" i="2"/>
  <c r="D590" i="2"/>
  <c r="D606" i="2"/>
  <c r="D611" i="2"/>
  <c r="D650" i="2"/>
  <c r="D652" i="2"/>
  <c r="D692" i="2"/>
  <c r="D704" i="2"/>
  <c r="D711" i="2"/>
  <c r="D738" i="2"/>
  <c r="D744" i="2"/>
  <c r="D746" i="2"/>
  <c r="D789" i="2"/>
  <c r="D822" i="2"/>
  <c r="D848" i="2"/>
  <c r="D859" i="2"/>
  <c r="D873" i="2"/>
  <c r="D879" i="2"/>
  <c r="D883" i="2"/>
  <c r="D896" i="2"/>
  <c r="D913" i="2"/>
  <c r="D925" i="2"/>
  <c r="D947" i="2"/>
  <c r="D969" i="2"/>
  <c r="D973" i="2"/>
  <c r="D1032" i="2"/>
  <c r="D1068" i="2"/>
  <c r="D1074" i="2"/>
  <c r="D1081" i="2"/>
  <c r="D1087" i="2"/>
  <c r="D1117" i="2"/>
  <c r="D30" i="2"/>
  <c r="D162" i="2"/>
  <c r="D174" i="2"/>
  <c r="D265" i="2"/>
  <c r="D286" i="2"/>
  <c r="D292" i="2"/>
  <c r="D308" i="2"/>
  <c r="D311" i="2"/>
  <c r="D315" i="2"/>
  <c r="D363" i="2"/>
  <c r="D528" i="2"/>
  <c r="D555" i="2"/>
  <c r="D565" i="2"/>
  <c r="D618" i="2"/>
  <c r="D658" i="2"/>
  <c r="D679" i="2"/>
  <c r="D853" i="2"/>
  <c r="D870" i="2"/>
  <c r="D911" i="2"/>
  <c r="D915" i="2"/>
  <c r="D918" i="2"/>
  <c r="D919" i="2"/>
  <c r="D933" i="2"/>
  <c r="D971" i="2"/>
  <c r="D1033" i="2"/>
  <c r="D1036" i="2"/>
  <c r="D271" i="2"/>
  <c r="D282" i="2"/>
  <c r="D417" i="2"/>
  <c r="D31" i="2"/>
  <c r="D64" i="2"/>
  <c r="D69" i="2"/>
  <c r="D85" i="2"/>
  <c r="D104" i="2"/>
  <c r="D110" i="2"/>
  <c r="D175" i="2"/>
  <c r="D207" i="2"/>
  <c r="D214" i="2"/>
  <c r="D228" i="2"/>
  <c r="D262" i="2"/>
  <c r="D288" i="2"/>
  <c r="D303" i="2"/>
  <c r="D368" i="2"/>
  <c r="D376" i="2"/>
  <c r="D385" i="2"/>
  <c r="D437" i="2"/>
  <c r="D464" i="2"/>
  <c r="D466" i="2"/>
  <c r="D470" i="2"/>
  <c r="D543" i="2"/>
  <c r="D548" i="2"/>
  <c r="D588" i="2"/>
  <c r="D592" i="2"/>
  <c r="D654" i="2"/>
  <c r="D675" i="2"/>
  <c r="D705" i="2"/>
  <c r="D719" i="2"/>
  <c r="D724" i="2"/>
  <c r="D758" i="2"/>
  <c r="D791" i="2"/>
  <c r="D800" i="2"/>
  <c r="D855" i="2"/>
  <c r="D865" i="2"/>
  <c r="D871" i="2"/>
  <c r="D970" i="2"/>
  <c r="D1065" i="2"/>
  <c r="D1075" i="2"/>
  <c r="D1083" i="2"/>
  <c r="D1092" i="2"/>
  <c r="D157" i="2"/>
  <c r="D32" i="2"/>
  <c r="D55" i="2"/>
  <c r="D77" i="2"/>
  <c r="D81" i="2"/>
  <c r="D102" i="2"/>
  <c r="D149" i="2"/>
  <c r="D164" i="2"/>
  <c r="D166" i="2"/>
  <c r="D171" i="2"/>
  <c r="D180" i="2"/>
  <c r="D185" i="2"/>
  <c r="D204" i="2"/>
  <c r="D312" i="2"/>
  <c r="D324" i="2"/>
  <c r="D334" i="2"/>
  <c r="D338" i="2"/>
  <c r="D346" i="2"/>
  <c r="D377" i="2"/>
  <c r="D414" i="2"/>
  <c r="D435" i="2"/>
  <c r="D483" i="2"/>
  <c r="D498" i="2"/>
  <c r="D529" i="2"/>
  <c r="D535" i="2"/>
  <c r="D645" i="2"/>
  <c r="D676" i="2"/>
  <c r="D725" i="2"/>
  <c r="D779" i="2"/>
  <c r="D792" i="2"/>
  <c r="D798" i="2"/>
  <c r="D854" i="2"/>
  <c r="D930" i="2"/>
  <c r="D1037" i="2"/>
  <c r="D1040" i="2"/>
  <c r="D1043" i="2"/>
  <c r="D1059" i="2"/>
  <c r="D1077" i="2"/>
  <c r="D1082" i="2"/>
  <c r="D1113" i="2"/>
  <c r="D1114" i="2"/>
  <c r="D1118" i="2"/>
  <c r="D33" i="2"/>
  <c r="D221" i="2"/>
  <c r="D842" i="2"/>
  <c r="D1111" i="2"/>
  <c r="D34" i="2"/>
  <c r="D683" i="2"/>
  <c r="D974" i="2"/>
  <c r="B540" i="2"/>
  <c r="B640" i="2"/>
  <c r="B562" i="2"/>
  <c r="B940" i="2"/>
  <c r="B694" i="2"/>
  <c r="B360" i="2"/>
  <c r="B571" i="2"/>
  <c r="B833" i="2"/>
  <c r="B687" i="2"/>
  <c r="B1110" i="2"/>
  <c r="B602" i="2"/>
  <c r="B333" i="2"/>
  <c r="B889" i="2"/>
  <c r="B1109" i="2"/>
  <c r="B1107" i="2"/>
  <c r="B1106" i="2"/>
  <c r="B493" i="2"/>
  <c r="B660" i="2"/>
  <c r="B379" i="2"/>
  <c r="B1052" i="2"/>
  <c r="B948" i="2"/>
  <c r="B167" i="2"/>
  <c r="B139" i="2"/>
  <c r="B796" i="2"/>
  <c r="B962" i="2"/>
  <c r="B1016" i="2"/>
  <c r="B979" i="2"/>
  <c r="B487" i="2"/>
  <c r="B949" i="2"/>
  <c r="B713" i="2"/>
  <c r="B499" i="2"/>
  <c r="B410" i="2"/>
  <c r="B317" i="2"/>
  <c r="B980" i="2"/>
  <c r="B961" i="2"/>
  <c r="B235" i="2"/>
  <c r="B58" i="2"/>
  <c r="B629" i="2"/>
  <c r="B747" i="2"/>
  <c r="B291" i="2"/>
  <c r="B762" i="2"/>
  <c r="B664" i="2"/>
  <c r="B191" i="2"/>
  <c r="B136" i="2"/>
  <c r="B834" i="2"/>
  <c r="B49" i="2"/>
  <c r="B490" i="2"/>
  <c r="B170" i="2"/>
  <c r="B799" i="2"/>
  <c r="B371" i="2"/>
  <c r="B441" i="2"/>
  <c r="B603" i="2"/>
  <c r="B488" i="2"/>
  <c r="B1038" i="2"/>
  <c r="B1085" i="2"/>
  <c r="B671" i="2"/>
  <c r="B532" i="2"/>
  <c r="B459" i="2"/>
  <c r="B522" i="2"/>
  <c r="B984" i="2"/>
  <c r="B230" i="2"/>
  <c r="B458" i="2"/>
  <c r="B860" i="2"/>
  <c r="B456" i="2"/>
  <c r="B941" i="2"/>
  <c r="B684" i="2"/>
  <c r="B678" i="2"/>
  <c r="B530" i="2"/>
  <c r="B300" i="2"/>
  <c r="B229" i="2"/>
  <c r="B192" i="2"/>
  <c r="B890" i="2"/>
  <c r="B454" i="2"/>
  <c r="B355" i="2"/>
  <c r="B647" i="2"/>
  <c r="B579" i="2"/>
  <c r="B59" i="2"/>
  <c r="B903" i="2"/>
  <c r="B891" i="2"/>
  <c r="B801" i="2"/>
  <c r="D2" i="2" l="1"/>
  <c r="B536" i="2"/>
  <c r="B696" i="2"/>
  <c r="B847" i="2"/>
  <c r="B1002" i="2"/>
  <c r="B3" i="2"/>
  <c r="B35" i="2"/>
  <c r="B37" i="2"/>
  <c r="B56" i="2"/>
  <c r="B66" i="2"/>
  <c r="B70" i="2"/>
  <c r="B72" i="2"/>
  <c r="B75" i="2"/>
  <c r="B78" i="2"/>
  <c r="B79" i="2"/>
  <c r="B83" i="2"/>
  <c r="B86" i="2"/>
  <c r="B87" i="2"/>
  <c r="B94" i="2"/>
  <c r="B103" i="2"/>
  <c r="B106" i="2"/>
  <c r="B123" i="2"/>
  <c r="B128" i="2"/>
  <c r="B132" i="2"/>
  <c r="B137" i="2"/>
  <c r="B140" i="2"/>
  <c r="B150" i="2"/>
  <c r="B154" i="2"/>
  <c r="B165" i="2"/>
  <c r="B168" i="2"/>
  <c r="B176" i="2"/>
  <c r="B182" i="2"/>
  <c r="B189" i="2"/>
  <c r="B195" i="2"/>
  <c r="B199" i="2"/>
  <c r="B201" i="2"/>
  <c r="B202" i="2"/>
  <c r="B205" i="2"/>
  <c r="B208" i="2"/>
  <c r="B215" i="2"/>
  <c r="B233" i="2"/>
  <c r="B256" i="2"/>
  <c r="B259" i="2"/>
  <c r="B271" i="2"/>
  <c r="B274" i="2"/>
  <c r="B282" i="2"/>
  <c r="B313" i="2"/>
  <c r="B318" i="2"/>
  <c r="B322" i="2"/>
  <c r="B339" i="2"/>
  <c r="B361" i="2"/>
  <c r="B364" i="2"/>
  <c r="B384" i="2"/>
  <c r="B386" i="2"/>
  <c r="B412" i="2"/>
  <c r="B417" i="2"/>
  <c r="B418" i="2"/>
  <c r="B421" i="2"/>
  <c r="B424" i="2"/>
  <c r="B429" i="2"/>
  <c r="B442" i="2"/>
  <c r="B462" i="2"/>
  <c r="B471" i="2"/>
  <c r="B477" i="2"/>
  <c r="B479" i="2"/>
  <c r="B481" i="2"/>
  <c r="B485" i="2"/>
  <c r="B494" i="2"/>
  <c r="B503" i="2"/>
  <c r="B514" i="2"/>
  <c r="B524" i="2"/>
  <c r="B546" i="2"/>
  <c r="B559" i="2"/>
  <c r="B580" i="2"/>
  <c r="B609" i="2"/>
  <c r="B619" i="2"/>
  <c r="B622" i="2"/>
  <c r="B634" i="2"/>
  <c r="B642" i="2"/>
  <c r="B651" i="2"/>
  <c r="B698" i="2"/>
  <c r="B702" i="2"/>
  <c r="B749" i="2"/>
  <c r="B755" i="2"/>
  <c r="B761" i="2"/>
  <c r="B775" i="2"/>
  <c r="B780" i="2"/>
  <c r="B786" i="2"/>
  <c r="B802" i="2"/>
  <c r="B803" i="2"/>
  <c r="B808" i="2"/>
  <c r="B811" i="2"/>
  <c r="B813" i="2"/>
  <c r="B817" i="2"/>
  <c r="B823" i="2"/>
  <c r="B825" i="2"/>
  <c r="B827" i="2"/>
  <c r="B828" i="2"/>
  <c r="B838" i="2"/>
  <c r="B840" i="2"/>
  <c r="B843" i="2"/>
  <c r="B849" i="2"/>
  <c r="B861" i="2"/>
  <c r="B872" i="2"/>
  <c r="B886" i="2"/>
  <c r="B897" i="2"/>
  <c r="B907" i="2"/>
  <c r="B927" i="2"/>
  <c r="B950" i="2"/>
  <c r="B960" i="2"/>
  <c r="B993" i="2"/>
  <c r="B994" i="2"/>
  <c r="B997" i="2"/>
  <c r="B1018" i="2"/>
  <c r="B1029" i="2"/>
  <c r="B1047" i="2"/>
  <c r="B1055" i="2"/>
  <c r="B1060" i="2"/>
  <c r="B1064" i="2"/>
  <c r="B1069" i="2"/>
  <c r="B1070" i="2"/>
  <c r="B1072" i="2"/>
  <c r="B1088" i="2"/>
  <c r="B1101" i="2"/>
  <c r="B1108" i="2"/>
  <c r="B1112" i="2"/>
  <c r="B1115" i="2"/>
  <c r="B1119" i="2"/>
  <c r="B4" i="2"/>
  <c r="B109" i="2"/>
  <c r="B406" i="2"/>
  <c r="B928" i="2"/>
  <c r="B999" i="2"/>
  <c r="B5" i="2"/>
  <c r="B726" i="2"/>
  <c r="B119" i="2"/>
  <c r="B193" i="2"/>
  <c r="B198" i="2"/>
  <c r="B398" i="2"/>
  <c r="B491" i="2"/>
  <c r="B558" i="2"/>
  <c r="B573" i="2"/>
  <c r="B577" i="2"/>
  <c r="B672" i="2"/>
  <c r="B709" i="2"/>
  <c r="B720" i="2"/>
  <c r="B721" i="2"/>
  <c r="B739" i="2"/>
  <c r="B777" i="2"/>
  <c r="B805" i="2"/>
  <c r="B806" i="2"/>
  <c r="B862" i="2"/>
  <c r="B884" i="2"/>
  <c r="B954" i="2"/>
  <c r="B966" i="2"/>
  <c r="B1041" i="2"/>
  <c r="B1062" i="2"/>
  <c r="B6" i="2"/>
  <c r="B7" i="2"/>
  <c r="B38" i="2"/>
  <c r="B67" i="2"/>
  <c r="B82" i="2"/>
  <c r="B99" i="2"/>
  <c r="B108" i="2"/>
  <c r="B113" i="2"/>
  <c r="B197" i="2"/>
  <c r="B217" i="2"/>
  <c r="B252" i="2"/>
  <c r="B278" i="2"/>
  <c r="B293" i="2"/>
  <c r="B325" i="2"/>
  <c r="B336" i="2"/>
  <c r="B366" i="2"/>
  <c r="B407" i="2"/>
  <c r="B566" i="2"/>
  <c r="B574" i="2"/>
  <c r="B581" i="2"/>
  <c r="B585" i="2"/>
  <c r="B599" i="2"/>
  <c r="B610" i="2"/>
  <c r="B614" i="2"/>
  <c r="B635" i="2"/>
  <c r="B710" i="2"/>
  <c r="B750" i="2"/>
  <c r="B772" i="2"/>
  <c r="B793" i="2"/>
  <c r="B812" i="2"/>
  <c r="B815" i="2"/>
  <c r="B820" i="2"/>
  <c r="B821" i="2"/>
  <c r="B824" i="2"/>
  <c r="B844" i="2"/>
  <c r="B850" i="2"/>
  <c r="B857" i="2"/>
  <c r="B880" i="2"/>
  <c r="B894" i="2"/>
  <c r="B937" i="2"/>
  <c r="B957" i="2"/>
  <c r="B982" i="2"/>
  <c r="B1020" i="2"/>
  <c r="B1046" i="2"/>
  <c r="B1049" i="2"/>
  <c r="B1089" i="2"/>
  <c r="B1116" i="2"/>
  <c r="B9" i="2"/>
  <c r="B90" i="2"/>
  <c r="B95" i="2"/>
  <c r="B130" i="2"/>
  <c r="B143" i="2"/>
  <c r="B152" i="2"/>
  <c r="B153" i="2"/>
  <c r="B155" i="2"/>
  <c r="B186" i="2"/>
  <c r="B222" i="2"/>
  <c r="B240" i="2"/>
  <c r="B245" i="2"/>
  <c r="B248" i="2"/>
  <c r="B250" i="2"/>
  <c r="B251" i="2"/>
  <c r="B253" i="2"/>
  <c r="B264" i="2"/>
  <c r="B279" i="2"/>
  <c r="B284" i="2"/>
  <c r="B289" i="2"/>
  <c r="B294" i="2"/>
  <c r="B297" i="2"/>
  <c r="B301" i="2"/>
  <c r="B309" i="2"/>
  <c r="B319" i="2"/>
  <c r="B326" i="2"/>
  <c r="B337" i="2"/>
  <c r="B373" i="2"/>
  <c r="B394" i="2"/>
  <c r="B399" i="2"/>
  <c r="B404" i="2"/>
  <c r="B426" i="2"/>
  <c r="B443" i="2"/>
  <c r="B449" i="2"/>
  <c r="B480" i="2"/>
  <c r="B484" i="2"/>
  <c r="B486" i="2"/>
  <c r="B504" i="2"/>
  <c r="B534" i="2"/>
  <c r="B541" i="2"/>
  <c r="B560" i="2"/>
  <c r="B586" i="2"/>
  <c r="B596" i="2"/>
  <c r="B604" i="2"/>
  <c r="B607" i="2"/>
  <c r="B612" i="2"/>
  <c r="B620" i="2"/>
  <c r="B623" i="2"/>
  <c r="B637" i="2"/>
  <c r="B641" i="2"/>
  <c r="B648" i="2"/>
  <c r="B657" i="2"/>
  <c r="B659" i="2"/>
  <c r="B665" i="2"/>
  <c r="B668" i="2"/>
  <c r="B677" i="2"/>
  <c r="B688" i="2"/>
  <c r="B691" i="2"/>
  <c r="B695" i="2"/>
  <c r="B701" i="2"/>
  <c r="B735" i="2"/>
  <c r="B751" i="2"/>
  <c r="B769" i="2"/>
  <c r="B773" i="2"/>
  <c r="B804" i="2"/>
  <c r="B807" i="2"/>
  <c r="B810" i="2"/>
  <c r="B839" i="2"/>
  <c r="B845" i="2"/>
  <c r="B866" i="2"/>
  <c r="B876" i="2"/>
  <c r="B887" i="2"/>
  <c r="B898" i="2"/>
  <c r="B901" i="2"/>
  <c r="B905" i="2"/>
  <c r="B921" i="2"/>
  <c r="B926" i="2"/>
  <c r="B931" i="2"/>
  <c r="B944" i="2"/>
  <c r="B952" i="2"/>
  <c r="B956" i="2"/>
  <c r="B963" i="2"/>
  <c r="B964" i="2"/>
  <c r="B975" i="2"/>
  <c r="B976" i="2"/>
  <c r="B995" i="2"/>
  <c r="B1003" i="2"/>
  <c r="B1010" i="2"/>
  <c r="B1012" i="2"/>
  <c r="B1017" i="2"/>
  <c r="B1021" i="2"/>
  <c r="B1024" i="2"/>
  <c r="B1027" i="2"/>
  <c r="B1030" i="2"/>
  <c r="B1035" i="2"/>
  <c r="B1042" i="2"/>
  <c r="B1044" i="2"/>
  <c r="B1048" i="2"/>
  <c r="B1054" i="2"/>
  <c r="B1073" i="2"/>
  <c r="B1098" i="2"/>
  <c r="B1120" i="2"/>
  <c r="B157" i="2"/>
  <c r="B10" i="2"/>
  <c r="B44" i="2"/>
  <c r="B84" i="2"/>
  <c r="B91" i="2"/>
  <c r="B131" i="2"/>
  <c r="B236" i="2"/>
  <c r="B374" i="2"/>
  <c r="B505" i="2"/>
  <c r="B513" i="2"/>
  <c r="B575" i="2"/>
  <c r="B584" i="2"/>
  <c r="B589" i="2"/>
  <c r="B591" i="2"/>
  <c r="B630" i="2"/>
  <c r="B643" i="2"/>
  <c r="B661" i="2"/>
  <c r="B680" i="2"/>
  <c r="B699" i="2"/>
  <c r="B784" i="2"/>
  <c r="B790" i="2"/>
  <c r="B818" i="2"/>
  <c r="B835" i="2"/>
  <c r="B841" i="2"/>
  <c r="B977" i="2"/>
  <c r="B1079" i="2"/>
  <c r="B1090" i="2"/>
  <c r="B1096" i="2"/>
  <c r="B11" i="2"/>
  <c r="B65" i="2"/>
  <c r="B141" i="2"/>
  <c r="B209" i="2"/>
  <c r="B266" i="2"/>
  <c r="B335" i="2"/>
  <c r="B350" i="2"/>
  <c r="B544" i="2"/>
  <c r="B600" i="2"/>
  <c r="B621" i="2"/>
  <c r="B763" i="2"/>
  <c r="B781" i="2"/>
  <c r="B945" i="2"/>
  <c r="B951" i="2"/>
  <c r="B986" i="2"/>
  <c r="B1071" i="2"/>
  <c r="B8" i="2"/>
  <c r="B12" i="2"/>
  <c r="B42" i="2"/>
  <c r="B177" i="2"/>
  <c r="B196" i="2"/>
  <c r="B223" i="2"/>
  <c r="B307" i="2"/>
  <c r="B340" i="2"/>
  <c r="B359" i="2"/>
  <c r="B380" i="2"/>
  <c r="B425" i="2"/>
  <c r="B450" i="2"/>
  <c r="B545" i="2"/>
  <c r="B567" i="2"/>
  <c r="B582" i="2"/>
  <c r="B13" i="2"/>
  <c r="B92" i="2"/>
  <c r="B114" i="2"/>
  <c r="B148" i="2"/>
  <c r="B158" i="2"/>
  <c r="B183" i="2"/>
  <c r="B194" i="2"/>
  <c r="B200" i="2"/>
  <c r="B280" i="2"/>
  <c r="B351" i="2"/>
  <c r="B392" i="2"/>
  <c r="B408" i="2"/>
  <c r="B431" i="2"/>
  <c r="B473" i="2"/>
  <c r="B482" i="2"/>
  <c r="B516" i="2"/>
  <c r="B519" i="2"/>
  <c r="B551" i="2"/>
  <c r="B593" i="2"/>
  <c r="B597" i="2"/>
  <c r="B615" i="2"/>
  <c r="B662" i="2"/>
  <c r="B666" i="2"/>
  <c r="B689" i="2"/>
  <c r="B690" i="2"/>
  <c r="B706" i="2"/>
  <c r="B740" i="2"/>
  <c r="B756" i="2"/>
  <c r="B797" i="2"/>
  <c r="B908" i="2"/>
  <c r="B910" i="2"/>
  <c r="B934" i="2"/>
  <c r="B958" i="2"/>
  <c r="B983" i="2"/>
  <c r="B987" i="2"/>
  <c r="B1013" i="2"/>
  <c r="B1019" i="2"/>
  <c r="B1034" i="2"/>
  <c r="B1039" i="2"/>
  <c r="B1057" i="2"/>
  <c r="B14" i="2"/>
  <c r="B43" i="2"/>
  <c r="B45" i="2"/>
  <c r="B71" i="2"/>
  <c r="B88" i="2"/>
  <c r="B107" i="2"/>
  <c r="B238" i="2"/>
  <c r="B242" i="2"/>
  <c r="B305" i="2"/>
  <c r="B320" i="2"/>
  <c r="B341" i="2"/>
  <c r="B396" i="2"/>
  <c r="B419" i="2"/>
  <c r="B507" i="2"/>
  <c r="B525" i="2"/>
  <c r="B587" i="2"/>
  <c r="B667" i="2"/>
  <c r="B712" i="2"/>
  <c r="B731" i="2"/>
  <c r="B785" i="2"/>
  <c r="B794" i="2"/>
  <c r="B916" i="2"/>
  <c r="B943" i="2"/>
  <c r="B967" i="2"/>
  <c r="B990" i="2"/>
  <c r="B15" i="2"/>
  <c r="B39" i="2"/>
  <c r="B61" i="2"/>
  <c r="B93" i="2"/>
  <c r="B112" i="2"/>
  <c r="B115" i="2"/>
  <c r="B117" i="2"/>
  <c r="B145" i="2"/>
  <c r="B190" i="2"/>
  <c r="B210" i="2"/>
  <c r="B218" i="2"/>
  <c r="B267" i="2"/>
  <c r="B329" i="2"/>
  <c r="B342" i="2"/>
  <c r="B478" i="2"/>
  <c r="B549" i="2"/>
  <c r="B568" i="2"/>
  <c r="B594" i="2"/>
  <c r="B638" i="2"/>
  <c r="B644" i="2"/>
  <c r="B752" i="2"/>
  <c r="B774" i="2"/>
  <c r="B787" i="2"/>
  <c r="B991" i="2"/>
  <c r="B1007" i="2"/>
  <c r="B1022" i="2"/>
  <c r="B16" i="2"/>
  <c r="B111" i="2"/>
  <c r="B122" i="2"/>
  <c r="B134" i="2"/>
  <c r="B224" i="2"/>
  <c r="B227" i="2"/>
  <c r="B247" i="2"/>
  <c r="B254" i="2"/>
  <c r="B409" i="2"/>
  <c r="B467" i="2"/>
  <c r="B550" i="2"/>
  <c r="B556" i="2"/>
  <c r="B605" i="2"/>
  <c r="B608" i="2"/>
  <c r="B649" i="2"/>
  <c r="B717" i="2"/>
  <c r="B732" i="2"/>
  <c r="B745" i="2"/>
  <c r="B753" i="2"/>
  <c r="B759" i="2"/>
  <c r="B829" i="2"/>
  <c r="B851" i="2"/>
  <c r="B856" i="2"/>
  <c r="B863" i="2"/>
  <c r="B868" i="2"/>
  <c r="B877" i="2"/>
  <c r="B888" i="2"/>
  <c r="B1014" i="2"/>
  <c r="B1025" i="2"/>
  <c r="B1066" i="2"/>
  <c r="B17" i="2"/>
  <c r="B51" i="2"/>
  <c r="B73" i="2"/>
  <c r="B80" i="2"/>
  <c r="B100" i="2"/>
  <c r="B129" i="2"/>
  <c r="B142" i="2"/>
  <c r="B146" i="2"/>
  <c r="B169" i="2"/>
  <c r="B172" i="2"/>
  <c r="B179" i="2"/>
  <c r="B206" i="2"/>
  <c r="B212" i="2"/>
  <c r="B216" i="2"/>
  <c r="B239" i="2"/>
  <c r="B243" i="2"/>
  <c r="B246" i="2"/>
  <c r="B249" i="2"/>
  <c r="B260" i="2"/>
  <c r="B283" i="2"/>
  <c r="B298" i="2"/>
  <c r="B330" i="2"/>
  <c r="B353" i="2"/>
  <c r="B356" i="2"/>
  <c r="B369" i="2"/>
  <c r="B381" i="2"/>
  <c r="B383" i="2"/>
  <c r="B387" i="2"/>
  <c r="B390" i="2"/>
  <c r="B393" i="2"/>
  <c r="B395" i="2"/>
  <c r="B397" i="2"/>
  <c r="B401" i="2"/>
  <c r="B405" i="2"/>
  <c r="B415" i="2"/>
  <c r="B420" i="2"/>
  <c r="B427" i="2"/>
  <c r="B438" i="2"/>
  <c r="B444" i="2"/>
  <c r="B447" i="2"/>
  <c r="B452" i="2"/>
  <c r="B457" i="2"/>
  <c r="B492" i="2"/>
  <c r="B495" i="2"/>
  <c r="B512" i="2"/>
  <c r="B517" i="2"/>
  <c r="B533" i="2"/>
  <c r="B542" i="2"/>
  <c r="B563" i="2"/>
  <c r="B569" i="2"/>
  <c r="B578" i="2"/>
  <c r="B616" i="2"/>
  <c r="B627" i="2"/>
  <c r="B631" i="2"/>
  <c r="B632" i="2"/>
  <c r="B633" i="2"/>
  <c r="B639" i="2"/>
  <c r="B655" i="2"/>
  <c r="B663" i="2"/>
  <c r="B681" i="2"/>
  <c r="B685" i="2"/>
  <c r="B693" i="2"/>
  <c r="B736" i="2"/>
  <c r="B754" i="2"/>
  <c r="B764" i="2"/>
  <c r="B766" i="2"/>
  <c r="B768" i="2"/>
  <c r="B770" i="2"/>
  <c r="B782" i="2"/>
  <c r="B809" i="2"/>
  <c r="B814" i="2"/>
  <c r="B819" i="2"/>
  <c r="B826" i="2"/>
  <c r="B836" i="2"/>
  <c r="B920" i="2"/>
  <c r="B929" i="2"/>
  <c r="B932" i="2"/>
  <c r="B935" i="2"/>
  <c r="B938" i="2"/>
  <c r="B946" i="2"/>
  <c r="B955" i="2"/>
  <c r="B965" i="2"/>
  <c r="B972" i="2"/>
  <c r="B978" i="2"/>
  <c r="B981" i="2"/>
  <c r="B985" i="2"/>
  <c r="B988" i="2"/>
  <c r="B998" i="2"/>
  <c r="B1000" i="2"/>
  <c r="B1006" i="2"/>
  <c r="B1011" i="2"/>
  <c r="B1026" i="2"/>
  <c r="B1028" i="2"/>
  <c r="B1051" i="2"/>
  <c r="B1053" i="2"/>
  <c r="B1056" i="2"/>
  <c r="B1058" i="2"/>
  <c r="B1063" i="2"/>
  <c r="B1076" i="2"/>
  <c r="B1080" i="2"/>
  <c r="B1091" i="2"/>
  <c r="B1095" i="2"/>
  <c r="B1097" i="2"/>
  <c r="B1102" i="2"/>
  <c r="B1121" i="2"/>
  <c r="B1122" i="2"/>
  <c r="B18" i="2"/>
  <c r="B837" i="2"/>
  <c r="B1099" i="2"/>
  <c r="B1100" i="2"/>
  <c r="B19" i="2"/>
  <c r="B48" i="2"/>
  <c r="B62" i="2"/>
  <c r="B261" i="2"/>
  <c r="B20" i="2"/>
  <c r="B40" i="2"/>
  <c r="B46" i="2"/>
  <c r="B50" i="2"/>
  <c r="B53" i="2"/>
  <c r="B63" i="2"/>
  <c r="B121" i="2"/>
  <c r="B187" i="2"/>
  <c r="B269" i="2"/>
  <c r="B327" i="2"/>
  <c r="B402" i="2"/>
  <c r="B413" i="2"/>
  <c r="B436" i="2"/>
  <c r="B465" i="2"/>
  <c r="B475" i="2"/>
  <c r="B476" i="2"/>
  <c r="B500" i="2"/>
  <c r="B518" i="2"/>
  <c r="B628" i="2"/>
  <c r="B653" i="2"/>
  <c r="B669" i="2"/>
  <c r="B682" i="2"/>
  <c r="B686" i="2"/>
  <c r="B707" i="2"/>
  <c r="B714" i="2"/>
  <c r="B788" i="2"/>
  <c r="B830" i="2"/>
  <c r="B846" i="2"/>
  <c r="B867" i="2"/>
  <c r="B968" i="2"/>
  <c r="B996" i="2"/>
  <c r="B1001" i="2"/>
  <c r="B1005" i="2"/>
  <c r="B1009" i="2"/>
  <c r="B1015" i="2"/>
  <c r="B1086" i="2"/>
  <c r="B1103" i="2"/>
  <c r="B21" i="2"/>
  <c r="B74" i="2"/>
  <c r="B120" i="2"/>
  <c r="B135" i="2"/>
  <c r="B144" i="2"/>
  <c r="B159" i="2"/>
  <c r="B382" i="2"/>
  <c r="B501" i="2"/>
  <c r="B557" i="2"/>
  <c r="B570" i="2"/>
  <c r="B722" i="2"/>
  <c r="B816" i="2"/>
  <c r="B1061" i="2"/>
  <c r="B1067" i="2"/>
  <c r="B1093" i="2"/>
  <c r="B68" i="2"/>
  <c r="B101" i="2"/>
  <c r="B105" i="2"/>
  <c r="B220" i="2"/>
  <c r="B231" i="2"/>
  <c r="B255" i="2"/>
  <c r="B268" i="2"/>
  <c r="B328" i="2"/>
  <c r="B354" i="2"/>
  <c r="B367" i="2"/>
  <c r="B391" i="2"/>
  <c r="B432" i="2"/>
  <c r="B601" i="2"/>
  <c r="B700" i="2"/>
  <c r="B703" i="2"/>
  <c r="B715" i="2"/>
  <c r="B718" i="2"/>
  <c r="B733" i="2"/>
  <c r="B776" i="2"/>
  <c r="B831" i="2"/>
  <c r="B864" i="2"/>
  <c r="B900" i="2"/>
  <c r="B912" i="2"/>
  <c r="B914" i="2"/>
  <c r="B922" i="2"/>
  <c r="B939" i="2"/>
  <c r="B1004" i="2"/>
  <c r="B1123" i="2"/>
  <c r="B1124" i="2"/>
  <c r="B23" i="2"/>
  <c r="B41" i="2"/>
  <c r="B160" i="2"/>
  <c r="B173" i="2"/>
  <c r="B211" i="2"/>
  <c r="B295" i="2"/>
  <c r="B302" i="2"/>
  <c r="B347" i="2"/>
  <c r="B370" i="2"/>
  <c r="B388" i="2"/>
  <c r="B422" i="2"/>
  <c r="B433" i="2"/>
  <c r="B451" i="2"/>
  <c r="B455" i="2"/>
  <c r="B468" i="2"/>
  <c r="B489" i="2"/>
  <c r="B526" i="2"/>
  <c r="B595" i="2"/>
  <c r="B728" i="2"/>
  <c r="B741" i="2"/>
  <c r="B748" i="2"/>
  <c r="B760" i="2"/>
  <c r="B778" i="2"/>
  <c r="B874" i="2"/>
  <c r="B881" i="2"/>
  <c r="B895" i="2"/>
  <c r="B917" i="2"/>
  <c r="B24" i="2"/>
  <c r="B52" i="2"/>
  <c r="B57" i="2"/>
  <c r="B76" i="2"/>
  <c r="B96" i="2"/>
  <c r="B124" i="2"/>
  <c r="B127" i="2"/>
  <c r="B161" i="2"/>
  <c r="B263" i="2"/>
  <c r="B272" i="2"/>
  <c r="B276" i="2"/>
  <c r="B285" i="2"/>
  <c r="B299" i="2"/>
  <c r="B304" i="2"/>
  <c r="B310" i="2"/>
  <c r="B323" i="2"/>
  <c r="B343" i="2"/>
  <c r="B348" i="2"/>
  <c r="B352" i="2"/>
  <c r="B357" i="2"/>
  <c r="B389" i="2"/>
  <c r="B428" i="2"/>
  <c r="B439" i="2"/>
  <c r="B446" i="2"/>
  <c r="B469" i="2"/>
  <c r="B472" i="2"/>
  <c r="B474" i="2"/>
  <c r="B502" i="2"/>
  <c r="B506" i="2"/>
  <c r="B509" i="2"/>
  <c r="B515" i="2"/>
  <c r="B523" i="2"/>
  <c r="B537" i="2"/>
  <c r="B547" i="2"/>
  <c r="B552" i="2"/>
  <c r="B564" i="2"/>
  <c r="B576" i="2"/>
  <c r="B617" i="2"/>
  <c r="B624" i="2"/>
  <c r="B636" i="2"/>
  <c r="B656" i="2"/>
  <c r="B673" i="2"/>
  <c r="B697" i="2"/>
  <c r="B723" i="2"/>
  <c r="B727" i="2"/>
  <c r="B742" i="2"/>
  <c r="B757" i="2"/>
  <c r="B783" i="2"/>
  <c r="B795" i="2"/>
  <c r="B869" i="2"/>
  <c r="B882" i="2"/>
  <c r="B885" i="2"/>
  <c r="B892" i="2"/>
  <c r="B902" i="2"/>
  <c r="B904" i="2"/>
  <c r="B906" i="2"/>
  <c r="B909" i="2"/>
  <c r="B923" i="2"/>
  <c r="B989" i="2"/>
  <c r="B992" i="2"/>
  <c r="B1045" i="2"/>
  <c r="B1050" i="2"/>
  <c r="B1104" i="2"/>
  <c r="B25" i="2"/>
  <c r="B36" i="2"/>
  <c r="B97" i="2"/>
  <c r="B147" i="2"/>
  <c r="B156" i="2"/>
  <c r="B178" i="2"/>
  <c r="B181" i="2"/>
  <c r="B234" i="2"/>
  <c r="B237" i="2"/>
  <c r="B270" i="2"/>
  <c r="B296" i="2"/>
  <c r="B321" i="2"/>
  <c r="B331" i="2"/>
  <c r="B344" i="2"/>
  <c r="B358" i="2"/>
  <c r="B423" i="2"/>
  <c r="B460" i="2"/>
  <c r="B463" i="2"/>
  <c r="B496" i="2"/>
  <c r="B510" i="2"/>
  <c r="B521" i="2"/>
  <c r="B538" i="2"/>
  <c r="B553" i="2"/>
  <c r="B625" i="2"/>
  <c r="B646" i="2"/>
  <c r="B670" i="2"/>
  <c r="B674" i="2"/>
  <c r="B716" i="2"/>
  <c r="B771" i="2"/>
  <c r="B832" i="2"/>
  <c r="B852" i="2"/>
  <c r="B858" i="2"/>
  <c r="B875" i="2"/>
  <c r="B924" i="2"/>
  <c r="B936" i="2"/>
  <c r="B1008" i="2"/>
  <c r="B1023" i="2"/>
  <c r="B1031" i="2"/>
  <c r="B1084" i="2"/>
  <c r="B1094" i="2"/>
  <c r="B26" i="2"/>
  <c r="B290" i="2"/>
  <c r="B440" i="2"/>
  <c r="B729" i="2"/>
  <c r="B730" i="2"/>
  <c r="B734" i="2"/>
  <c r="B743" i="2"/>
  <c r="B942" i="2"/>
  <c r="B953" i="2"/>
  <c r="B959" i="2"/>
  <c r="B1078" i="2"/>
  <c r="B1105" i="2"/>
  <c r="B27" i="2"/>
  <c r="B163" i="2"/>
  <c r="B184" i="2"/>
  <c r="B257" i="2"/>
  <c r="B281" i="2"/>
  <c r="B375" i="2"/>
  <c r="B411" i="2"/>
  <c r="B531" i="2"/>
  <c r="B613" i="2"/>
  <c r="B708" i="2"/>
  <c r="B767" i="2"/>
  <c r="B899" i="2"/>
  <c r="B28" i="2"/>
  <c r="B89" i="2"/>
  <c r="B116" i="2"/>
  <c r="B133" i="2"/>
  <c r="B232" i="2"/>
  <c r="B430" i="2"/>
  <c r="B508" i="2"/>
  <c r="B527" i="2"/>
  <c r="B583" i="2"/>
  <c r="B598" i="2"/>
  <c r="B737" i="2"/>
  <c r="B765" i="2"/>
  <c r="B878" i="2"/>
  <c r="B893" i="2"/>
  <c r="B22" i="2"/>
  <c r="B29" i="2"/>
  <c r="B47" i="2"/>
  <c r="B54" i="2"/>
  <c r="B98" i="2"/>
  <c r="B118" i="2"/>
  <c r="B125" i="2"/>
  <c r="B126" i="2"/>
  <c r="B138" i="2"/>
  <c r="B151" i="2"/>
  <c r="B188" i="2"/>
  <c r="B203" i="2"/>
  <c r="B213" i="2"/>
  <c r="B219" i="2"/>
  <c r="B225" i="2"/>
  <c r="B226" i="2"/>
  <c r="B241" i="2"/>
  <c r="B244" i="2"/>
  <c r="B258" i="2"/>
  <c r="B273" i="2"/>
  <c r="B275" i="2"/>
  <c r="B277" i="2"/>
  <c r="B287" i="2"/>
  <c r="B306" i="2"/>
  <c r="B314" i="2"/>
  <c r="B332" i="2"/>
  <c r="B345" i="2"/>
  <c r="B349" i="2"/>
  <c r="B362" i="2"/>
  <c r="B365" i="2"/>
  <c r="B372" i="2"/>
  <c r="B378" i="2"/>
  <c r="B400" i="2"/>
  <c r="B403" i="2"/>
  <c r="B416" i="2"/>
  <c r="B434" i="2"/>
  <c r="B445" i="2"/>
  <c r="B448" i="2"/>
  <c r="B453" i="2"/>
  <c r="B461" i="2"/>
  <c r="B497" i="2"/>
  <c r="B511" i="2"/>
  <c r="B520" i="2"/>
  <c r="B539" i="2"/>
  <c r="B554" i="2"/>
  <c r="B561" i="2"/>
  <c r="B572" i="2"/>
  <c r="B590" i="2"/>
  <c r="B606" i="2"/>
  <c r="B611" i="2"/>
  <c r="B650" i="2"/>
  <c r="B652" i="2"/>
  <c r="B692" i="2"/>
  <c r="B704" i="2"/>
  <c r="B711" i="2"/>
  <c r="B738" i="2"/>
  <c r="B744" i="2"/>
  <c r="B746" i="2"/>
  <c r="B789" i="2"/>
  <c r="B822" i="2"/>
  <c r="B848" i="2"/>
  <c r="B859" i="2"/>
  <c r="B873" i="2"/>
  <c r="B879" i="2"/>
  <c r="B883" i="2"/>
  <c r="B896" i="2"/>
  <c r="B913" i="2"/>
  <c r="B925" i="2"/>
  <c r="B947" i="2"/>
  <c r="B969" i="2"/>
  <c r="B973" i="2"/>
  <c r="B1032" i="2"/>
  <c r="B1068" i="2"/>
  <c r="B1074" i="2"/>
  <c r="B1081" i="2"/>
  <c r="B1087" i="2"/>
  <c r="B1117" i="2"/>
  <c r="B30" i="2"/>
  <c r="B162" i="2"/>
  <c r="B174" i="2"/>
  <c r="B265" i="2"/>
  <c r="B286" i="2"/>
  <c r="B292" i="2"/>
  <c r="B308" i="2"/>
  <c r="B311" i="2"/>
  <c r="B315" i="2"/>
  <c r="B363" i="2"/>
  <c r="B528" i="2"/>
  <c r="B555" i="2"/>
  <c r="B565" i="2"/>
  <c r="B618" i="2"/>
  <c r="B658" i="2"/>
  <c r="B679" i="2"/>
  <c r="B853" i="2"/>
  <c r="B870" i="2"/>
  <c r="B911" i="2"/>
  <c r="B915" i="2"/>
  <c r="B918" i="2"/>
  <c r="B919" i="2"/>
  <c r="B933" i="2"/>
  <c r="B971" i="2"/>
  <c r="B1033" i="2"/>
  <c r="B1036" i="2"/>
  <c r="B31" i="2"/>
  <c r="B60" i="2"/>
  <c r="B64" i="2"/>
  <c r="B69" i="2"/>
  <c r="B85" i="2"/>
  <c r="B104" i="2"/>
  <c r="B110" i="2"/>
  <c r="B175" i="2"/>
  <c r="B207" i="2"/>
  <c r="B214" i="2"/>
  <c r="B228" i="2"/>
  <c r="B262" i="2"/>
  <c r="B288" i="2"/>
  <c r="B303" i="2"/>
  <c r="B316" i="2"/>
  <c r="B368" i="2"/>
  <c r="B376" i="2"/>
  <c r="B385" i="2"/>
  <c r="B437" i="2"/>
  <c r="B464" i="2"/>
  <c r="B466" i="2"/>
  <c r="B470" i="2"/>
  <c r="B543" i="2"/>
  <c r="B548" i="2"/>
  <c r="B588" i="2"/>
  <c r="B592" i="2"/>
  <c r="B626" i="2"/>
  <c r="B654" i="2"/>
  <c r="B675" i="2"/>
  <c r="B705" i="2"/>
  <c r="B719" i="2"/>
  <c r="B724" i="2"/>
  <c r="B758" i="2"/>
  <c r="B791" i="2"/>
  <c r="B800" i="2"/>
  <c r="B855" i="2"/>
  <c r="B865" i="2"/>
  <c r="B871" i="2"/>
  <c r="B970" i="2"/>
  <c r="B1065" i="2"/>
  <c r="B1075" i="2"/>
  <c r="B1083" i="2"/>
  <c r="B1092" i="2"/>
  <c r="B32" i="2"/>
  <c r="B55" i="2"/>
  <c r="B77" i="2"/>
  <c r="B81" i="2"/>
  <c r="B102" i="2"/>
  <c r="B149" i="2"/>
  <c r="B164" i="2"/>
  <c r="B166" i="2"/>
  <c r="B171" i="2"/>
  <c r="B180" i="2"/>
  <c r="B185" i="2"/>
  <c r="B204" i="2"/>
  <c r="B312" i="2"/>
  <c r="B324" i="2"/>
  <c r="B334" i="2"/>
  <c r="B338" i="2"/>
  <c r="B346" i="2"/>
  <c r="B377" i="2"/>
  <c r="B414" i="2"/>
  <c r="B435" i="2"/>
  <c r="B483" i="2"/>
  <c r="B498" i="2"/>
  <c r="B529" i="2"/>
  <c r="B535" i="2"/>
  <c r="B645" i="2"/>
  <c r="B676" i="2"/>
  <c r="B725" i="2"/>
  <c r="B779" i="2"/>
  <c r="B792" i="2"/>
  <c r="B798" i="2"/>
  <c r="B854" i="2"/>
  <c r="B930" i="2"/>
  <c r="B1037" i="2"/>
  <c r="B1040" i="2"/>
  <c r="B1043" i="2"/>
  <c r="B1059" i="2"/>
  <c r="B1077" i="2"/>
  <c r="B1082" i="2"/>
  <c r="B1113" i="2"/>
  <c r="B1114" i="2"/>
  <c r="B1118" i="2"/>
  <c r="B33" i="2"/>
  <c r="B221" i="2"/>
  <c r="B842" i="2"/>
  <c r="B1111" i="2"/>
  <c r="B34" i="2"/>
  <c r="B683" i="2"/>
  <c r="B974" i="2"/>
  <c r="B2" i="2"/>
</calcChain>
</file>

<file path=xl/sharedStrings.xml><?xml version="1.0" encoding="utf-8"?>
<sst xmlns="http://schemas.openxmlformats.org/spreadsheetml/2006/main" count="8995" uniqueCount="4477">
  <si>
    <t>91001</t>
  </si>
  <si>
    <t>91405</t>
  </si>
  <si>
    <t>91407</t>
  </si>
  <si>
    <t>91540</t>
  </si>
  <si>
    <t>91669</t>
  </si>
  <si>
    <t>91798</t>
  </si>
  <si>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</si>
  <si>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</si>
  <si>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</si>
  <si>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</si>
  <si>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</si>
  <si>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</si>
  <si>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</si>
  <si>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</si>
  <si>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</si>
  <si>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</si>
  <si>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</si>
  <si>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</si>
  <si>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</si>
  <si>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</si>
  <si>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</si>
  <si>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</si>
  <si>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</si>
  <si>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</si>
  <si>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</si>
  <si>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</si>
  <si>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</si>
  <si>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</si>
  <si>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</si>
  <si>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</si>
  <si>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</si>
  <si>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</si>
  <si>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</si>
  <si>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</si>
  <si>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</si>
  <si>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</si>
  <si>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</si>
  <si>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</si>
  <si>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</si>
  <si>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</si>
  <si>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</si>
  <si>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</si>
  <si>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</si>
  <si>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</si>
  <si>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</si>
  <si>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</si>
  <si>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</si>
  <si>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</si>
  <si>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</si>
  <si>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</si>
  <si>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</si>
  <si>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</si>
  <si>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</si>
  <si>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</si>
  <si>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</si>
  <si>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</si>
  <si>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</si>
  <si>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</si>
  <si>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</si>
  <si>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</si>
  <si>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</si>
  <si>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</si>
  <si>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</si>
  <si>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</si>
  <si>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</si>
  <si>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</si>
  <si>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</si>
  <si>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</si>
  <si>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</si>
  <si>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</si>
  <si>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</si>
  <si>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</si>
  <si>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</si>
  <si>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</si>
  <si>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</si>
  <si>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</si>
  <si>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</si>
  <si>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</si>
  <si>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05490</t>
  </si>
  <si>
    <t>05495</t>
  </si>
  <si>
    <t>05501</t>
  </si>
  <si>
    <t>05541</t>
  </si>
  <si>
    <t>05543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</si>
  <si>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</si>
  <si>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</si>
  <si>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</si>
  <si>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</si>
  <si>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</si>
  <si>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</si>
  <si>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</si>
  <si>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</si>
  <si>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</si>
  <si>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</si>
  <si>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</si>
  <si>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</si>
  <si>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</si>
  <si>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</si>
  <si>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</si>
  <si>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</si>
  <si>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</si>
  <si>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</si>
  <si>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</si>
  <si>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</si>
  <si>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</si>
  <si>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</si>
  <si>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</si>
  <si>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</si>
  <si>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</si>
  <si>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</si>
  <si>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</si>
  <si>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</si>
  <si>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</si>
  <si>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</si>
  <si>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</si>
  <si>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</si>
  <si>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</si>
  <si>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</si>
  <si>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</si>
  <si>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</si>
  <si>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</si>
  <si>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</si>
  <si>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</si>
  <si>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</si>
  <si>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</si>
  <si>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</si>
  <si>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</si>
  <si>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</si>
  <si>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</si>
  <si>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</si>
  <si>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81001</t>
  </si>
  <si>
    <t>81065</t>
  </si>
  <si>
    <t>81300</t>
  </si>
  <si>
    <t>81736</t>
  </si>
  <si>
    <t>81794</t>
  </si>
  <si>
    <t>88001</t>
  </si>
  <si>
    <t>88564</t>
  </si>
  <si>
    <t>08078</t>
  </si>
  <si>
    <t>08137</t>
  </si>
  <si>
    <t>08141</t>
  </si>
  <si>
    <t>08296</t>
  </si>
  <si>
    <t>08372</t>
  </si>
  <si>
    <t>08421</t>
  </si>
  <si>
    <t>08433</t>
  </si>
  <si>
    <t>08436</t>
  </si>
  <si>
    <t>08520</t>
  </si>
  <si>
    <t>08549</t>
  </si>
  <si>
    <t>08558</t>
  </si>
  <si>
    <t>08560</t>
  </si>
  <si>
    <t>08573</t>
  </si>
  <si>
    <t>08606</t>
  </si>
  <si>
    <t>08634</t>
  </si>
  <si>
    <t>08638</t>
  </si>
  <si>
    <t>08675</t>
  </si>
  <si>
    <t>08685</t>
  </si>
  <si>
    <t>08758</t>
  </si>
  <si>
    <t>08770</t>
  </si>
  <si>
    <t>08832</t>
  </si>
  <si>
    <t>08849</t>
  </si>
  <si>
    <t>08001</t>
  </si>
  <si>
    <t>11001</t>
  </si>
  <si>
    <t>13006</t>
  </si>
  <si>
    <t>13030</t>
  </si>
  <si>
    <t>13042</t>
  </si>
  <si>
    <t>13052</t>
  </si>
  <si>
    <t>13062</t>
  </si>
  <si>
    <t>13074</t>
  </si>
  <si>
    <t>13140</t>
  </si>
  <si>
    <t>13160</t>
  </si>
  <si>
    <t>13188</t>
  </si>
  <si>
    <t>13212</t>
  </si>
  <si>
    <t>13222</t>
  </si>
  <si>
    <t>13244</t>
  </si>
  <si>
    <t>13248</t>
  </si>
  <si>
    <t>13268</t>
  </si>
  <si>
    <t>13300</t>
  </si>
  <si>
    <t>13430</t>
  </si>
  <si>
    <t>13433</t>
  </si>
  <si>
    <t>13440</t>
  </si>
  <si>
    <t>13442</t>
  </si>
  <si>
    <t>13458</t>
  </si>
  <si>
    <t>13468</t>
  </si>
  <si>
    <t>13473</t>
  </si>
  <si>
    <t>13490</t>
  </si>
  <si>
    <t>13549</t>
  </si>
  <si>
    <t>13580</t>
  </si>
  <si>
    <t>13600</t>
  </si>
  <si>
    <t>13620</t>
  </si>
  <si>
    <t>13647</t>
  </si>
  <si>
    <t>13650</t>
  </si>
  <si>
    <t>13654</t>
  </si>
  <si>
    <t>13655</t>
  </si>
  <si>
    <t>13657</t>
  </si>
  <si>
    <t>13667</t>
  </si>
  <si>
    <t>13670</t>
  </si>
  <si>
    <t>13673</t>
  </si>
  <si>
    <t>13683</t>
  </si>
  <si>
    <t>13688</t>
  </si>
  <si>
    <t>13744</t>
  </si>
  <si>
    <t>13760</t>
  </si>
  <si>
    <t>13780</t>
  </si>
  <si>
    <t>13810</t>
  </si>
  <si>
    <t>13836</t>
  </si>
  <si>
    <t>13838</t>
  </si>
  <si>
    <t>13873</t>
  </si>
  <si>
    <t>13894</t>
  </si>
  <si>
    <t>15001</t>
  </si>
  <si>
    <t>15047</t>
  </si>
  <si>
    <t>15051</t>
  </si>
  <si>
    <t>15087</t>
  </si>
  <si>
    <t>15097</t>
  </si>
  <si>
    <t>15104</t>
  </si>
  <si>
    <t>15106</t>
  </si>
  <si>
    <t>15109</t>
  </si>
  <si>
    <t>15131</t>
  </si>
  <si>
    <t>15162</t>
  </si>
  <si>
    <t>15176</t>
  </si>
  <si>
    <t>15180</t>
  </si>
  <si>
    <t>15183</t>
  </si>
  <si>
    <t>15185</t>
  </si>
  <si>
    <t>15187</t>
  </si>
  <si>
    <t>15189</t>
  </si>
  <si>
    <t>15204</t>
  </si>
  <si>
    <t>15212</t>
  </si>
  <si>
    <t>15215</t>
  </si>
  <si>
    <t>15218</t>
  </si>
  <si>
    <t>15223</t>
  </si>
  <si>
    <t>15224</t>
  </si>
  <si>
    <t>15226</t>
  </si>
  <si>
    <t>15232</t>
  </si>
  <si>
    <t>15238</t>
  </si>
  <si>
    <t>15244</t>
  </si>
  <si>
    <t>15248</t>
  </si>
  <si>
    <t>15272</t>
  </si>
  <si>
    <t>15293</t>
  </si>
  <si>
    <t>15296</t>
  </si>
  <si>
    <t>15299</t>
  </si>
  <si>
    <t>15317</t>
  </si>
  <si>
    <t>15322</t>
  </si>
  <si>
    <t>15325</t>
  </si>
  <si>
    <t>15362</t>
  </si>
  <si>
    <t>15367</t>
  </si>
  <si>
    <t>15368</t>
  </si>
  <si>
    <t>15380</t>
  </si>
  <si>
    <t>15403</t>
  </si>
  <si>
    <t>15407</t>
  </si>
  <si>
    <t>15425</t>
  </si>
  <si>
    <t>15442</t>
  </si>
  <si>
    <t>15455</t>
  </si>
  <si>
    <t>15464</t>
  </si>
  <si>
    <t>15466</t>
  </si>
  <si>
    <t>15469</t>
  </si>
  <si>
    <t>15476</t>
  </si>
  <si>
    <t>15480</t>
  </si>
  <si>
    <t>15491</t>
  </si>
  <si>
    <t>15494</t>
  </si>
  <si>
    <t>15500</t>
  </si>
  <si>
    <t>15507</t>
  </si>
  <si>
    <t>15511</t>
  </si>
  <si>
    <t>15516</t>
  </si>
  <si>
    <t>15518</t>
  </si>
  <si>
    <t>15522</t>
  </si>
  <si>
    <t>15531</t>
  </si>
  <si>
    <t>15533</t>
  </si>
  <si>
    <t>15537</t>
  </si>
  <si>
    <t>15542</t>
  </si>
  <si>
    <t>15572</t>
  </si>
  <si>
    <t>15580</t>
  </si>
  <si>
    <t>15599</t>
  </si>
  <si>
    <t>15600</t>
  </si>
  <si>
    <t>15632</t>
  </si>
  <si>
    <t>15638</t>
  </si>
  <si>
    <t>15646</t>
  </si>
  <si>
    <t>15664</t>
  </si>
  <si>
    <t>15667</t>
  </si>
  <si>
    <t>15676</t>
  </si>
  <si>
    <t>15681</t>
  </si>
  <si>
    <t>15686</t>
  </si>
  <si>
    <t>15690</t>
  </si>
  <si>
    <t>15693</t>
  </si>
  <si>
    <t>15696</t>
  </si>
  <si>
    <t>15720</t>
  </si>
  <si>
    <t>15723</t>
  </si>
  <si>
    <t>15757</t>
  </si>
  <si>
    <t>15759</t>
  </si>
  <si>
    <t>15763</t>
  </si>
  <si>
    <t>15764</t>
  </si>
  <si>
    <t>15774</t>
  </si>
  <si>
    <t>15776</t>
  </si>
  <si>
    <t>15790</t>
  </si>
  <si>
    <t>15798</t>
  </si>
  <si>
    <t>15804</t>
  </si>
  <si>
    <t>15806</t>
  </si>
  <si>
    <t>15808</t>
  </si>
  <si>
    <t>15810</t>
  </si>
  <si>
    <t>15814</t>
  </si>
  <si>
    <t>15816</t>
  </si>
  <si>
    <t>15820</t>
  </si>
  <si>
    <t>15822</t>
  </si>
  <si>
    <t>15832</t>
  </si>
  <si>
    <t>15835</t>
  </si>
  <si>
    <t>15837</t>
  </si>
  <si>
    <t>15842</t>
  </si>
  <si>
    <t>15861</t>
  </si>
  <si>
    <t>15879</t>
  </si>
  <si>
    <t>15897</t>
  </si>
  <si>
    <t>76109</t>
  </si>
  <si>
    <t>17001</t>
  </si>
  <si>
    <t>17013</t>
  </si>
  <si>
    <t>17042</t>
  </si>
  <si>
    <t>17050</t>
  </si>
  <si>
    <t>17088</t>
  </si>
  <si>
    <t>17174</t>
  </si>
  <si>
    <t>17272</t>
  </si>
  <si>
    <t>17380</t>
  </si>
  <si>
    <t>17388</t>
  </si>
  <si>
    <t>17433</t>
  </si>
  <si>
    <t>17442</t>
  </si>
  <si>
    <t>17444</t>
  </si>
  <si>
    <t>17446</t>
  </si>
  <si>
    <t>17486</t>
  </si>
  <si>
    <t>17495</t>
  </si>
  <si>
    <t>17513</t>
  </si>
  <si>
    <t>17524</t>
  </si>
  <si>
    <t>17541</t>
  </si>
  <si>
    <t>17616</t>
  </si>
  <si>
    <t>17653</t>
  </si>
  <si>
    <t>17662</t>
  </si>
  <si>
    <t>17665</t>
  </si>
  <si>
    <t>17777</t>
  </si>
  <si>
    <t>17867</t>
  </si>
  <si>
    <t>17873</t>
  </si>
  <si>
    <t>17877</t>
  </si>
  <si>
    <t>18001</t>
  </si>
  <si>
    <t>18029</t>
  </si>
  <si>
    <t>18094</t>
  </si>
  <si>
    <t>18150</t>
  </si>
  <si>
    <t>18205</t>
  </si>
  <si>
    <t>18247</t>
  </si>
  <si>
    <t>18256</t>
  </si>
  <si>
    <t>18410</t>
  </si>
  <si>
    <t>18460</t>
  </si>
  <si>
    <t>18479</t>
  </si>
  <si>
    <t>18592</t>
  </si>
  <si>
    <t>18610</t>
  </si>
  <si>
    <t>18753</t>
  </si>
  <si>
    <t>18756</t>
  </si>
  <si>
    <t>18785</t>
  </si>
  <si>
    <t>18860</t>
  </si>
  <si>
    <t>13001</t>
  </si>
  <si>
    <t>85001</t>
  </si>
  <si>
    <t>85010</t>
  </si>
  <si>
    <t>85125</t>
  </si>
  <si>
    <t>85139</t>
  </si>
  <si>
    <t>85162</t>
  </si>
  <si>
    <t>85230</t>
  </si>
  <si>
    <t>85250</t>
  </si>
  <si>
    <t>85263</t>
  </si>
  <si>
    <t>85279</t>
  </si>
  <si>
    <t>85315</t>
  </si>
  <si>
    <t>85325</t>
  </si>
  <si>
    <t>85410</t>
  </si>
  <si>
    <t>85430</t>
  </si>
  <si>
    <t>85440</t>
  </si>
  <si>
    <t>19001</t>
  </si>
  <si>
    <t>19050</t>
  </si>
  <si>
    <t>19075</t>
  </si>
  <si>
    <t>19100</t>
  </si>
  <si>
    <t>19110</t>
  </si>
  <si>
    <t>19130</t>
  </si>
  <si>
    <t>19137</t>
  </si>
  <si>
    <t>19142</t>
  </si>
  <si>
    <t>19212</t>
  </si>
  <si>
    <t>19256</t>
  </si>
  <si>
    <t>19300</t>
  </si>
  <si>
    <t>19318</t>
  </si>
  <si>
    <t>19355</t>
  </si>
  <si>
    <t>19364</t>
  </si>
  <si>
    <t>19392</t>
  </si>
  <si>
    <t>19397</t>
  </si>
  <si>
    <t>19418</t>
  </si>
  <si>
    <t>19450</t>
  </si>
  <si>
    <t>19455</t>
  </si>
  <si>
    <t>19473</t>
  </si>
  <si>
    <t>19513</t>
  </si>
  <si>
    <t>19517</t>
  </si>
  <si>
    <t>19532</t>
  </si>
  <si>
    <t>19533</t>
  </si>
  <si>
    <t>19573</t>
  </si>
  <si>
    <t>19585</t>
  </si>
  <si>
    <t>19622</t>
  </si>
  <si>
    <t>19698</t>
  </si>
  <si>
    <t>19701</t>
  </si>
  <si>
    <t>19743</t>
  </si>
  <si>
    <t>19760</t>
  </si>
  <si>
    <t>19780</t>
  </si>
  <si>
    <t>19785</t>
  </si>
  <si>
    <t>19807</t>
  </si>
  <si>
    <t>19809</t>
  </si>
  <si>
    <t>19821</t>
  </si>
  <si>
    <t>19824</t>
  </si>
  <si>
    <t>19845</t>
  </si>
  <si>
    <t>20001</t>
  </si>
  <si>
    <t>20011</t>
  </si>
  <si>
    <t>20013</t>
  </si>
  <si>
    <t>20032</t>
  </si>
  <si>
    <t>20045</t>
  </si>
  <si>
    <t>20060</t>
  </si>
  <si>
    <t>20175</t>
  </si>
  <si>
    <t>20178</t>
  </si>
  <si>
    <t>20228</t>
  </si>
  <si>
    <t>20238</t>
  </si>
  <si>
    <t>20250</t>
  </si>
  <si>
    <t>20295</t>
  </si>
  <si>
    <t>20310</t>
  </si>
  <si>
    <t>20383</t>
  </si>
  <si>
    <t>20400</t>
  </si>
  <si>
    <t>20443</t>
  </si>
  <si>
    <t>20517</t>
  </si>
  <si>
    <t>20550</t>
  </si>
  <si>
    <t>20570</t>
  </si>
  <si>
    <t>20614</t>
  </si>
  <si>
    <t>20621</t>
  </si>
  <si>
    <t>20710</t>
  </si>
  <si>
    <t>20750</t>
  </si>
  <si>
    <t>20770</t>
  </si>
  <si>
    <t>20787</t>
  </si>
  <si>
    <t>27001</t>
  </si>
  <si>
    <t>27006</t>
  </si>
  <si>
    <t>27025</t>
  </si>
  <si>
    <t>27050</t>
  </si>
  <si>
    <t>27073</t>
  </si>
  <si>
    <t>27075</t>
  </si>
  <si>
    <t>27077</t>
  </si>
  <si>
    <t>27099</t>
  </si>
  <si>
    <t>27135</t>
  </si>
  <si>
    <t>27150</t>
  </si>
  <si>
    <t>27160</t>
  </si>
  <si>
    <t>27205</t>
  </si>
  <si>
    <t>27245</t>
  </si>
  <si>
    <t>27250</t>
  </si>
  <si>
    <t>27361</t>
  </si>
  <si>
    <t>27413</t>
  </si>
  <si>
    <t>27430</t>
  </si>
  <si>
    <t>27450</t>
  </si>
  <si>
    <t>27491</t>
  </si>
  <si>
    <t>27495</t>
  </si>
  <si>
    <t>27580</t>
  </si>
  <si>
    <t>27600</t>
  </si>
  <si>
    <t>27615</t>
  </si>
  <si>
    <t>27787</t>
  </si>
  <si>
    <t>27800</t>
  </si>
  <si>
    <t>27810</t>
  </si>
  <si>
    <t>23001</t>
  </si>
  <si>
    <t>23068</t>
  </si>
  <si>
    <t>23079</t>
  </si>
  <si>
    <t>23090</t>
  </si>
  <si>
    <t>23162</t>
  </si>
  <si>
    <t>23168</t>
  </si>
  <si>
    <t>23182</t>
  </si>
  <si>
    <t>23189</t>
  </si>
  <si>
    <t>23300</t>
  </si>
  <si>
    <t>23350</t>
  </si>
  <si>
    <t>23417</t>
  </si>
  <si>
    <t>23419</t>
  </si>
  <si>
    <t>23464</t>
  </si>
  <si>
    <t>23466</t>
  </si>
  <si>
    <t>23500</t>
  </si>
  <si>
    <t>23555</t>
  </si>
  <si>
    <t>23570</t>
  </si>
  <si>
    <t>23574</t>
  </si>
  <si>
    <t>23580</t>
  </si>
  <si>
    <t>23586</t>
  </si>
  <si>
    <t>23660</t>
  </si>
  <si>
    <t>23670</t>
  </si>
  <si>
    <t>23672</t>
  </si>
  <si>
    <t>23675</t>
  </si>
  <si>
    <t>23678</t>
  </si>
  <si>
    <t>23682</t>
  </si>
  <si>
    <t>23686</t>
  </si>
  <si>
    <t>23807</t>
  </si>
  <si>
    <t>23815</t>
  </si>
  <si>
    <t>23855</t>
  </si>
  <si>
    <t>25001</t>
  </si>
  <si>
    <t>25019</t>
  </si>
  <si>
    <t>25035</t>
  </si>
  <si>
    <t>25040</t>
  </si>
  <si>
    <t>25053</t>
  </si>
  <si>
    <t>25086</t>
  </si>
  <si>
    <t>25095</t>
  </si>
  <si>
    <t>25099</t>
  </si>
  <si>
    <t>25120</t>
  </si>
  <si>
    <t>25123</t>
  </si>
  <si>
    <t>25126</t>
  </si>
  <si>
    <t>25148</t>
  </si>
  <si>
    <t>25151</t>
  </si>
  <si>
    <t>25154</t>
  </si>
  <si>
    <t>25175</t>
  </si>
  <si>
    <t>25178</t>
  </si>
  <si>
    <t>25181</t>
  </si>
  <si>
    <t>25183</t>
  </si>
  <si>
    <t>25200</t>
  </si>
  <si>
    <t>25214</t>
  </si>
  <si>
    <t>25224</t>
  </si>
  <si>
    <t>25245</t>
  </si>
  <si>
    <t>25258</t>
  </si>
  <si>
    <t>25260</t>
  </si>
  <si>
    <t>25269</t>
  </si>
  <si>
    <t>25279</t>
  </si>
  <si>
    <t>25281</t>
  </si>
  <si>
    <t>25286</t>
  </si>
  <si>
    <t>25288</t>
  </si>
  <si>
    <t>25290</t>
  </si>
  <si>
    <t>25293</t>
  </si>
  <si>
    <t>25295</t>
  </si>
  <si>
    <t>25297</t>
  </si>
  <si>
    <t>25299</t>
  </si>
  <si>
    <t>25307</t>
  </si>
  <si>
    <t>25312</t>
  </si>
  <si>
    <t>25317</t>
  </si>
  <si>
    <t>25320</t>
  </si>
  <si>
    <t>25322</t>
  </si>
  <si>
    <t>25324</t>
  </si>
  <si>
    <t>25326</t>
  </si>
  <si>
    <t>25335</t>
  </si>
  <si>
    <t>25372</t>
  </si>
  <si>
    <t>25377</t>
  </si>
  <si>
    <t>25386</t>
  </si>
  <si>
    <t>25394</t>
  </si>
  <si>
    <t>25402</t>
  </si>
  <si>
    <t>25407</t>
  </si>
  <si>
    <t>25426</t>
  </si>
  <si>
    <t>25430</t>
  </si>
  <si>
    <t>25436</t>
  </si>
  <si>
    <t>25473</t>
  </si>
  <si>
    <t>25483</t>
  </si>
  <si>
    <t>25486</t>
  </si>
  <si>
    <t>25488</t>
  </si>
  <si>
    <t>25489</t>
  </si>
  <si>
    <t>25491</t>
  </si>
  <si>
    <t>25506</t>
  </si>
  <si>
    <t>25513</t>
  </si>
  <si>
    <t>25524</t>
  </si>
  <si>
    <t>25530</t>
  </si>
  <si>
    <t>25535</t>
  </si>
  <si>
    <t>25572</t>
  </si>
  <si>
    <t>25580</t>
  </si>
  <si>
    <t>25592</t>
  </si>
  <si>
    <t>25594</t>
  </si>
  <si>
    <t>25596</t>
  </si>
  <si>
    <t>25599</t>
  </si>
  <si>
    <t>25612</t>
  </si>
  <si>
    <t>25645</t>
  </si>
  <si>
    <t>25649</t>
  </si>
  <si>
    <t>25653</t>
  </si>
  <si>
    <t>25658</t>
  </si>
  <si>
    <t>25662</t>
  </si>
  <si>
    <t>25718</t>
  </si>
  <si>
    <t>25736</t>
  </si>
  <si>
    <t>25740</t>
  </si>
  <si>
    <t>25743</t>
  </si>
  <si>
    <t>25745</t>
  </si>
  <si>
    <t>25754</t>
  </si>
  <si>
    <t>25758</t>
  </si>
  <si>
    <t>25769</t>
  </si>
  <si>
    <t>25772</t>
  </si>
  <si>
    <t>25777</t>
  </si>
  <si>
    <t>25779</t>
  </si>
  <si>
    <t>25781</t>
  </si>
  <si>
    <t>25785</t>
  </si>
  <si>
    <t>25793</t>
  </si>
  <si>
    <t>25797</t>
  </si>
  <si>
    <t>25799</t>
  </si>
  <si>
    <t>25805</t>
  </si>
  <si>
    <t>25815</t>
  </si>
  <si>
    <t>25817</t>
  </si>
  <si>
    <t>25839</t>
  </si>
  <si>
    <t>25841</t>
  </si>
  <si>
    <t>25843</t>
  </si>
  <si>
    <t>25845</t>
  </si>
  <si>
    <t>25851</t>
  </si>
  <si>
    <t>25862</t>
  </si>
  <si>
    <t>25867</t>
  </si>
  <si>
    <t>25873</t>
  </si>
  <si>
    <t>25875</t>
  </si>
  <si>
    <t>25878</t>
  </si>
  <si>
    <t>25885</t>
  </si>
  <si>
    <t>25898</t>
  </si>
  <si>
    <t>94001</t>
  </si>
  <si>
    <t>94663</t>
  </si>
  <si>
    <t>94883</t>
  </si>
  <si>
    <t>94884</t>
  </si>
  <si>
    <t>95001</t>
  </si>
  <si>
    <t>95015</t>
  </si>
  <si>
    <t>95025</t>
  </si>
  <si>
    <t>95200</t>
  </si>
  <si>
    <t>41001</t>
  </si>
  <si>
    <t>41006</t>
  </si>
  <si>
    <t>41013</t>
  </si>
  <si>
    <t>41016</t>
  </si>
  <si>
    <t>41020</t>
  </si>
  <si>
    <t>41026</t>
  </si>
  <si>
    <t>41078</t>
  </si>
  <si>
    <t>41132</t>
  </si>
  <si>
    <t>41206</t>
  </si>
  <si>
    <t>41244</t>
  </si>
  <si>
    <t>41298</t>
  </si>
  <si>
    <t>41306</t>
  </si>
  <si>
    <t>41319</t>
  </si>
  <si>
    <t>41349</t>
  </si>
  <si>
    <t>41357</t>
  </si>
  <si>
    <t>41359</t>
  </si>
  <si>
    <t>41378</t>
  </si>
  <si>
    <t>41396</t>
  </si>
  <si>
    <t>41483</t>
  </si>
  <si>
    <t>41503</t>
  </si>
  <si>
    <t>41518</t>
  </si>
  <si>
    <t>41524</t>
  </si>
  <si>
    <t>41530</t>
  </si>
  <si>
    <t>41548</t>
  </si>
  <si>
    <t>41551</t>
  </si>
  <si>
    <t>41615</t>
  </si>
  <si>
    <t>41660</t>
  </si>
  <si>
    <t>41668</t>
  </si>
  <si>
    <t>41676</t>
  </si>
  <si>
    <t>41770</t>
  </si>
  <si>
    <t>41791</t>
  </si>
  <si>
    <t>41797</t>
  </si>
  <si>
    <t>41799</t>
  </si>
  <si>
    <t>41801</t>
  </si>
  <si>
    <t>41807</t>
  </si>
  <si>
    <t>41872</t>
  </si>
  <si>
    <t>41885</t>
  </si>
  <si>
    <t>44001</t>
  </si>
  <si>
    <t>44035</t>
  </si>
  <si>
    <t>44078</t>
  </si>
  <si>
    <t>44090</t>
  </si>
  <si>
    <t>44098</t>
  </si>
  <si>
    <t>44110</t>
  </si>
  <si>
    <t>44279</t>
  </si>
  <si>
    <t>44378</t>
  </si>
  <si>
    <t>44420</t>
  </si>
  <si>
    <t>44430</t>
  </si>
  <si>
    <t>44560</t>
  </si>
  <si>
    <t>44650</t>
  </si>
  <si>
    <t>44847</t>
  </si>
  <si>
    <t>44855</t>
  </si>
  <si>
    <t>44874</t>
  </si>
  <si>
    <t>47030</t>
  </si>
  <si>
    <t>47053</t>
  </si>
  <si>
    <t>47058</t>
  </si>
  <si>
    <t>47161</t>
  </si>
  <si>
    <t>47170</t>
  </si>
  <si>
    <t>47189</t>
  </si>
  <si>
    <t>47205</t>
  </si>
  <si>
    <t>47245</t>
  </si>
  <si>
    <t>47258</t>
  </si>
  <si>
    <t>47268</t>
  </si>
  <si>
    <t>47288</t>
  </si>
  <si>
    <t>47318</t>
  </si>
  <si>
    <t>47460</t>
  </si>
  <si>
    <t>47541</t>
  </si>
  <si>
    <t>47545</t>
  </si>
  <si>
    <t>47551</t>
  </si>
  <si>
    <t>47555</t>
  </si>
  <si>
    <t>47570</t>
  </si>
  <si>
    <t>47605</t>
  </si>
  <si>
    <t>47660</t>
  </si>
  <si>
    <t>47675</t>
  </si>
  <si>
    <t>47692</t>
  </si>
  <si>
    <t>47703</t>
  </si>
  <si>
    <t>47707</t>
  </si>
  <si>
    <t>47720</t>
  </si>
  <si>
    <t>47745</t>
  </si>
  <si>
    <t>47798</t>
  </si>
  <si>
    <t>47960</t>
  </si>
  <si>
    <t>47980</t>
  </si>
  <si>
    <t>50001</t>
  </si>
  <si>
    <t>50006</t>
  </si>
  <si>
    <t>50110</t>
  </si>
  <si>
    <t>50124</t>
  </si>
  <si>
    <t>50150</t>
  </si>
  <si>
    <t>50223</t>
  </si>
  <si>
    <t>50226</t>
  </si>
  <si>
    <t>50251</t>
  </si>
  <si>
    <t>50270</t>
  </si>
  <si>
    <t>50287</t>
  </si>
  <si>
    <t>50313</t>
  </si>
  <si>
    <t>50318</t>
  </si>
  <si>
    <t>50325</t>
  </si>
  <si>
    <t>50330</t>
  </si>
  <si>
    <t>50350</t>
  </si>
  <si>
    <t>50370</t>
  </si>
  <si>
    <t>50400</t>
  </si>
  <si>
    <t>50450</t>
  </si>
  <si>
    <t>50568</t>
  </si>
  <si>
    <t>50573</t>
  </si>
  <si>
    <t>50590</t>
  </si>
  <si>
    <t>50606</t>
  </si>
  <si>
    <t>50680</t>
  </si>
  <si>
    <t>50683</t>
  </si>
  <si>
    <t>50689</t>
  </si>
  <si>
    <t>50711</t>
  </si>
  <si>
    <t>52001</t>
  </si>
  <si>
    <t>52019</t>
  </si>
  <si>
    <t>52022</t>
  </si>
  <si>
    <t>52036</t>
  </si>
  <si>
    <t>52051</t>
  </si>
  <si>
    <t>52079</t>
  </si>
  <si>
    <t>52083</t>
  </si>
  <si>
    <t>52110</t>
  </si>
  <si>
    <t>52203</t>
  </si>
  <si>
    <t>52207</t>
  </si>
  <si>
    <t>52210</t>
  </si>
  <si>
    <t>52215</t>
  </si>
  <si>
    <t>52224</t>
  </si>
  <si>
    <t>52227</t>
  </si>
  <si>
    <t>52233</t>
  </si>
  <si>
    <t>52240</t>
  </si>
  <si>
    <t>52250</t>
  </si>
  <si>
    <t>52254</t>
  </si>
  <si>
    <t>52256</t>
  </si>
  <si>
    <t>52260</t>
  </si>
  <si>
    <t>52287</t>
  </si>
  <si>
    <t>52317</t>
  </si>
  <si>
    <t>52320</t>
  </si>
  <si>
    <t>52323</t>
  </si>
  <si>
    <t>52352</t>
  </si>
  <si>
    <t>52354</t>
  </si>
  <si>
    <t>52356</t>
  </si>
  <si>
    <t>52378</t>
  </si>
  <si>
    <t>52381</t>
  </si>
  <si>
    <t>52385</t>
  </si>
  <si>
    <t>52390</t>
  </si>
  <si>
    <t>52399</t>
  </si>
  <si>
    <t>52405</t>
  </si>
  <si>
    <t>52411</t>
  </si>
  <si>
    <t>52418</t>
  </si>
  <si>
    <t>52427</t>
  </si>
  <si>
    <t>52435</t>
  </si>
  <si>
    <t>52473</t>
  </si>
  <si>
    <t>52480</t>
  </si>
  <si>
    <t>52490</t>
  </si>
  <si>
    <t>52506</t>
  </si>
  <si>
    <t>52520</t>
  </si>
  <si>
    <t>52540</t>
  </si>
  <si>
    <t>52560</t>
  </si>
  <si>
    <t>52565</t>
  </si>
  <si>
    <t>52573</t>
  </si>
  <si>
    <t>52585</t>
  </si>
  <si>
    <t>52612</t>
  </si>
  <si>
    <t>52621</t>
  </si>
  <si>
    <t>52678</t>
  </si>
  <si>
    <t>52683</t>
  </si>
  <si>
    <t>52685</t>
  </si>
  <si>
    <t>52687</t>
  </si>
  <si>
    <t>52694</t>
  </si>
  <si>
    <t>52696</t>
  </si>
  <si>
    <t>52699</t>
  </si>
  <si>
    <t>52720</t>
  </si>
  <si>
    <t>52786</t>
  </si>
  <si>
    <t>52788</t>
  </si>
  <si>
    <t>52835</t>
  </si>
  <si>
    <t>52838</t>
  </si>
  <si>
    <t>52885</t>
  </si>
  <si>
    <t>54001</t>
  </si>
  <si>
    <t>54003</t>
  </si>
  <si>
    <t>54051</t>
  </si>
  <si>
    <t>54099</t>
  </si>
  <si>
    <t>54109</t>
  </si>
  <si>
    <t>54125</t>
  </si>
  <si>
    <t>54128</t>
  </si>
  <si>
    <t>54172</t>
  </si>
  <si>
    <t>54174</t>
  </si>
  <si>
    <t>54206</t>
  </si>
  <si>
    <t>54223</t>
  </si>
  <si>
    <t>54239</t>
  </si>
  <si>
    <t>54245</t>
  </si>
  <si>
    <t>54250</t>
  </si>
  <si>
    <t>54261</t>
  </si>
  <si>
    <t>54313</t>
  </si>
  <si>
    <t>54344</t>
  </si>
  <si>
    <t>54347</t>
  </si>
  <si>
    <t>54377</t>
  </si>
  <si>
    <t>54385</t>
  </si>
  <si>
    <t>54398</t>
  </si>
  <si>
    <t>54405</t>
  </si>
  <si>
    <t>54418</t>
  </si>
  <si>
    <t>54480</t>
  </si>
  <si>
    <t>54498</t>
  </si>
  <si>
    <t>54518</t>
  </si>
  <si>
    <t>54520</t>
  </si>
  <si>
    <t>54553</t>
  </si>
  <si>
    <t>54599</t>
  </si>
  <si>
    <t>54660</t>
  </si>
  <si>
    <t>54670</t>
  </si>
  <si>
    <t>54673</t>
  </si>
  <si>
    <t>54680</t>
  </si>
  <si>
    <t>54720</t>
  </si>
  <si>
    <t>54743</t>
  </si>
  <si>
    <t>54800</t>
  </si>
  <si>
    <t>54810</t>
  </si>
  <si>
    <t>54820</t>
  </si>
  <si>
    <t>54871</t>
  </si>
  <si>
    <t>54874</t>
  </si>
  <si>
    <t>86001</t>
  </si>
  <si>
    <t>86219</t>
  </si>
  <si>
    <t>86320</t>
  </si>
  <si>
    <t>86568</t>
  </si>
  <si>
    <t>86569</t>
  </si>
  <si>
    <t>86571</t>
  </si>
  <si>
    <t>86573</t>
  </si>
  <si>
    <t>86749</t>
  </si>
  <si>
    <t>86757</t>
  </si>
  <si>
    <t>86760</t>
  </si>
  <si>
    <t>86865</t>
  </si>
  <si>
    <t>86885</t>
  </si>
  <si>
    <t>63001</t>
  </si>
  <si>
    <t>63111</t>
  </si>
  <si>
    <t>63130</t>
  </si>
  <si>
    <t>63190</t>
  </si>
  <si>
    <t>63212</t>
  </si>
  <si>
    <t>63272</t>
  </si>
  <si>
    <t>63302</t>
  </si>
  <si>
    <t>63401</t>
  </si>
  <si>
    <t>63470</t>
  </si>
  <si>
    <t>63548</t>
  </si>
  <si>
    <t>63594</t>
  </si>
  <si>
    <t>63690</t>
  </si>
  <si>
    <t>66001</t>
  </si>
  <si>
    <t>66045</t>
  </si>
  <si>
    <t>66075</t>
  </si>
  <si>
    <t>66088</t>
  </si>
  <si>
    <t>66170</t>
  </si>
  <si>
    <t>66318</t>
  </si>
  <si>
    <t>66383</t>
  </si>
  <si>
    <t>66400</t>
  </si>
  <si>
    <t>66440</t>
  </si>
  <si>
    <t>66456</t>
  </si>
  <si>
    <t>66572</t>
  </si>
  <si>
    <t>66594</t>
  </si>
  <si>
    <t>66682</t>
  </si>
  <si>
    <t>66687</t>
  </si>
  <si>
    <t>47001</t>
  </si>
  <si>
    <t>68001</t>
  </si>
  <si>
    <t>68013</t>
  </si>
  <si>
    <t>68020</t>
  </si>
  <si>
    <t>68051</t>
  </si>
  <si>
    <t>68077</t>
  </si>
  <si>
    <t>68079</t>
  </si>
  <si>
    <t>68081</t>
  </si>
  <si>
    <t>68092</t>
  </si>
  <si>
    <t>68101</t>
  </si>
  <si>
    <t>68132</t>
  </si>
  <si>
    <t>68147</t>
  </si>
  <si>
    <t>68152</t>
  </si>
  <si>
    <t>68160</t>
  </si>
  <si>
    <t>68162</t>
  </si>
  <si>
    <t>68167</t>
  </si>
  <si>
    <t>68176</t>
  </si>
  <si>
    <t>68179</t>
  </si>
  <si>
    <t>68190</t>
  </si>
  <si>
    <t>68207</t>
  </si>
  <si>
    <t>68209</t>
  </si>
  <si>
    <t>68211</t>
  </si>
  <si>
    <t>68217</t>
  </si>
  <si>
    <t>68229</t>
  </si>
  <si>
    <t>68235</t>
  </si>
  <si>
    <t>68245</t>
  </si>
  <si>
    <t>68250</t>
  </si>
  <si>
    <t>68255</t>
  </si>
  <si>
    <t>68264</t>
  </si>
  <si>
    <t>68266</t>
  </si>
  <si>
    <t>68271</t>
  </si>
  <si>
    <t>68276</t>
  </si>
  <si>
    <t>68296</t>
  </si>
  <si>
    <t>68298</t>
  </si>
  <si>
    <t>68307</t>
  </si>
  <si>
    <t>68318</t>
  </si>
  <si>
    <t>68322</t>
  </si>
  <si>
    <t>68324</t>
  </si>
  <si>
    <t>68327</t>
  </si>
  <si>
    <t>68344</t>
  </si>
  <si>
    <t>68377</t>
  </si>
  <si>
    <t>68385</t>
  </si>
  <si>
    <t>68397</t>
  </si>
  <si>
    <t>68406</t>
  </si>
  <si>
    <t>68418</t>
  </si>
  <si>
    <t>68425</t>
  </si>
  <si>
    <t>68432</t>
  </si>
  <si>
    <t>68444</t>
  </si>
  <si>
    <t>68464</t>
  </si>
  <si>
    <t>68468</t>
  </si>
  <si>
    <t>68500</t>
  </si>
  <si>
    <t>68502</t>
  </si>
  <si>
    <t>68533</t>
  </si>
  <si>
    <t>68547</t>
  </si>
  <si>
    <t>68549</t>
  </si>
  <si>
    <t>68572</t>
  </si>
  <si>
    <t>68573</t>
  </si>
  <si>
    <t>68575</t>
  </si>
  <si>
    <t>68615</t>
  </si>
  <si>
    <t>68655</t>
  </si>
  <si>
    <t>68669</t>
  </si>
  <si>
    <t>68673</t>
  </si>
  <si>
    <t>68679</t>
  </si>
  <si>
    <t>68682</t>
  </si>
  <si>
    <t>68684</t>
  </si>
  <si>
    <t>68689</t>
  </si>
  <si>
    <t>68705</t>
  </si>
  <si>
    <t>68720</t>
  </si>
  <si>
    <t>68755</t>
  </si>
  <si>
    <t>68770</t>
  </si>
  <si>
    <t>68773</t>
  </si>
  <si>
    <t>68820</t>
  </si>
  <si>
    <t>68855</t>
  </si>
  <si>
    <t>68861</t>
  </si>
  <si>
    <t>68867</t>
  </si>
  <si>
    <t>68872</t>
  </si>
  <si>
    <t>68895</t>
  </si>
  <si>
    <t>70001</t>
  </si>
  <si>
    <t>70110</t>
  </si>
  <si>
    <t>70124</t>
  </si>
  <si>
    <t>70204</t>
  </si>
  <si>
    <t>70215</t>
  </si>
  <si>
    <t>70221</t>
  </si>
  <si>
    <t>70230</t>
  </si>
  <si>
    <t>70233</t>
  </si>
  <si>
    <t>70235</t>
  </si>
  <si>
    <t>70265</t>
  </si>
  <si>
    <t>70400</t>
  </si>
  <si>
    <t>70418</t>
  </si>
  <si>
    <t>70429</t>
  </si>
  <si>
    <t>70473</t>
  </si>
  <si>
    <t>70508</t>
  </si>
  <si>
    <t>70523</t>
  </si>
  <si>
    <t>70670</t>
  </si>
  <si>
    <t>70678</t>
  </si>
  <si>
    <t>70702</t>
  </si>
  <si>
    <t>70708</t>
  </si>
  <si>
    <t>70713</t>
  </si>
  <si>
    <t>70717</t>
  </si>
  <si>
    <t>70742</t>
  </si>
  <si>
    <t>70771</t>
  </si>
  <si>
    <t>70820</t>
  </si>
  <si>
    <t>70823</t>
  </si>
  <si>
    <t>73001</t>
  </si>
  <si>
    <t>73024</t>
  </si>
  <si>
    <t>73026</t>
  </si>
  <si>
    <t>73030</t>
  </si>
  <si>
    <t>73043</t>
  </si>
  <si>
    <t>73055</t>
  </si>
  <si>
    <t>73067</t>
  </si>
  <si>
    <t>73124</t>
  </si>
  <si>
    <t>73148</t>
  </si>
  <si>
    <t>73152</t>
  </si>
  <si>
    <t>73168</t>
  </si>
  <si>
    <t>73200</t>
  </si>
  <si>
    <t>73217</t>
  </si>
  <si>
    <t>73226</t>
  </si>
  <si>
    <t>73236</t>
  </si>
  <si>
    <t>73268</t>
  </si>
  <si>
    <t>73275</t>
  </si>
  <si>
    <t>73283</t>
  </si>
  <si>
    <t>73319</t>
  </si>
  <si>
    <t>73347</t>
  </si>
  <si>
    <t>73349</t>
  </si>
  <si>
    <t>73352</t>
  </si>
  <si>
    <t>73408</t>
  </si>
  <si>
    <t>73411</t>
  </si>
  <si>
    <t>73443</t>
  </si>
  <si>
    <t>73449</t>
  </si>
  <si>
    <t>73483</t>
  </si>
  <si>
    <t>73504</t>
  </si>
  <si>
    <t>73520</t>
  </si>
  <si>
    <t>73547</t>
  </si>
  <si>
    <t>73555</t>
  </si>
  <si>
    <t>73563</t>
  </si>
  <si>
    <t>73585</t>
  </si>
  <si>
    <t>73616</t>
  </si>
  <si>
    <t>73624</t>
  </si>
  <si>
    <t>73671</t>
  </si>
  <si>
    <t>73675</t>
  </si>
  <si>
    <t>73678</t>
  </si>
  <si>
    <t>73770</t>
  </si>
  <si>
    <t>73854</t>
  </si>
  <si>
    <t>73861</t>
  </si>
  <si>
    <t>73870</t>
  </si>
  <si>
    <t>73873</t>
  </si>
  <si>
    <t>76001</t>
  </si>
  <si>
    <t>76020</t>
  </si>
  <si>
    <t>76036</t>
  </si>
  <si>
    <t>76041</t>
  </si>
  <si>
    <t>76054</t>
  </si>
  <si>
    <t>76100</t>
  </si>
  <si>
    <t>76111</t>
  </si>
  <si>
    <t>76113</t>
  </si>
  <si>
    <t>76122</t>
  </si>
  <si>
    <t>76126</t>
  </si>
  <si>
    <t>76130</t>
  </si>
  <si>
    <t>76147</t>
  </si>
  <si>
    <t>76233</t>
  </si>
  <si>
    <t>76243</t>
  </si>
  <si>
    <t>76246</t>
  </si>
  <si>
    <t>76248</t>
  </si>
  <si>
    <t>76250</t>
  </si>
  <si>
    <t>76275</t>
  </si>
  <si>
    <t>76306</t>
  </si>
  <si>
    <t>76318</t>
  </si>
  <si>
    <t>76364</t>
  </si>
  <si>
    <t>76377</t>
  </si>
  <si>
    <t>76400</t>
  </si>
  <si>
    <t>76403</t>
  </si>
  <si>
    <t>76497</t>
  </si>
  <si>
    <t>76520</t>
  </si>
  <si>
    <t>76563</t>
  </si>
  <si>
    <t>76606</t>
  </si>
  <si>
    <t>76616</t>
  </si>
  <si>
    <t>76622</t>
  </si>
  <si>
    <t>76670</t>
  </si>
  <si>
    <t>76736</t>
  </si>
  <si>
    <t>76823</t>
  </si>
  <si>
    <t>76828</t>
  </si>
  <si>
    <t>76845</t>
  </si>
  <si>
    <t>76863</t>
  </si>
  <si>
    <t>76869</t>
  </si>
  <si>
    <t>76890</t>
  </si>
  <si>
    <t>76892</t>
  </si>
  <si>
    <t>76895</t>
  </si>
  <si>
    <t>97001</t>
  </si>
  <si>
    <t>97161</t>
  </si>
  <si>
    <t>97666</t>
  </si>
  <si>
    <t>97889</t>
  </si>
  <si>
    <t>99001</t>
  </si>
  <si>
    <t>99524</t>
  </si>
  <si>
    <t>99773</t>
  </si>
  <si>
    <t>DEPARTAMENTO</t>
  </si>
  <si>
    <t>AMAZONAS</t>
  </si>
  <si>
    <t>LETICIA</t>
  </si>
  <si>
    <t>LA CHORRERA</t>
  </si>
  <si>
    <t>LA PEDRERA</t>
  </si>
  <si>
    <t>PUERTO NARIÑO</t>
  </si>
  <si>
    <t>PUERTO SANTANDER</t>
  </si>
  <si>
    <t>TARAPACÁ</t>
  </si>
  <si>
    <t>ANTIOQUIA</t>
  </si>
  <si>
    <t>MEDELLÍN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</si>
  <si>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</si>
  <si>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</si>
  <si>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</si>
  <si>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</si>
  <si>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</si>
  <si>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</si>
  <si>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</si>
  <si>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</si>
  <si>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</si>
  <si>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SANTA FÉ DE ANTIOQUIA</t>
  </si>
  <si>
    <t>ANZÁ</t>
  </si>
  <si>
    <t>APARTADÓ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</si>
  <si>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</si>
  <si>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</si>
  <si>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</si>
  <si>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</si>
  <si>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</si>
  <si>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</si>
  <si>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</si>
  <si>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</si>
  <si>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</si>
  <si>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</si>
  <si>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</si>
  <si>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</si>
  <si>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</si>
  <si>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CALDAS</t>
  </si>
  <si>
    <t>CAMPAMENTO</t>
  </si>
  <si>
    <t>CAÑASGORDAS</t>
  </si>
  <si>
    <t>CARAMANTA</t>
  </si>
  <si>
    <t>CAREPA</t>
  </si>
  <si>
    <t>EL CARMEN DE VIBORAL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</si>
  <si>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</si>
  <si>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</si>
  <si>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</si>
  <si>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</si>
  <si>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</si>
  <si>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</si>
  <si>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</si>
  <si>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</si>
  <si>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</si>
  <si>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DONMATÍAS</t>
  </si>
  <si>
    <t>EBÉJICO</t>
  </si>
  <si>
    <t>EL BAGRE</t>
  </si>
  <si>
    <t>ENTRERRÍOS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</si>
  <si>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</si>
  <si>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</si>
  <si>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</si>
  <si>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</si>
  <si>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</si>
  <si>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</si>
  <si>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</si>
  <si>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</si>
  <si>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</si>
  <si>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</si>
  <si>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</si>
  <si>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</si>
  <si>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ITAGÜÍ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</si>
  <si>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</si>
  <si>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</si>
  <si>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</si>
  <si>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</si>
  <si>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</si>
  <si>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</si>
  <si>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</si>
  <si>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</si>
  <si>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</si>
  <si>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</si>
  <si>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</si>
  <si>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</si>
  <si>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</si>
  <si>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NECOCLÍ</t>
  </si>
  <si>
    <t>NECHÍ</t>
  </si>
  <si>
    <t>OLAYA</t>
  </si>
  <si>
    <t>PEÑOL</t>
  </si>
  <si>
    <t>PEQUE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</si>
  <si>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</si>
  <si>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</si>
  <si>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</si>
  <si>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</si>
  <si>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</si>
  <si>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</si>
  <si>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</si>
  <si>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</si>
  <si>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</si>
  <si>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</si>
  <si>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</si>
  <si>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</si>
  <si>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</si>
  <si>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JUAN DE URABÁ</t>
  </si>
  <si>
    <t>SAN LUIS</t>
  </si>
  <si>
    <t>SAN PEDRO DE URABÁ</t>
  </si>
  <si>
    <t>SAN RAFAEL</t>
  </si>
  <si>
    <t>SAN ROQUE</t>
  </si>
  <si>
    <t>SAN VICENTE FERRER</t>
  </si>
  <si>
    <t>SANTA BÁRBARA</t>
  </si>
  <si>
    <t>SANTA ROSA DE OSOS</t>
  </si>
  <si>
    <t>SANTO DOMINGO</t>
  </si>
  <si>
    <t>EL SANTUARIO</t>
  </si>
  <si>
    <t>SEGOVIA</t>
  </si>
  <si>
    <t>SONSÓN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</si>
  <si>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</si>
  <si>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</si>
  <si>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</si>
  <si>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</si>
  <si>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</si>
  <si>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</si>
  <si>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</si>
  <si>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</si>
  <si>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</si>
  <si>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</si>
  <si>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</si>
  <si>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</si>
  <si>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</si>
  <si>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</si>
  <si>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</si>
  <si>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</si>
  <si>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</si>
  <si>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</si>
  <si>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</si>
  <si>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ARAUCA</t>
  </si>
  <si>
    <t>ARAUQUITA</t>
  </si>
  <si>
    <t>FORTUL</t>
  </si>
  <si>
    <t>SARAVENA</t>
  </si>
  <si>
    <t>TAME</t>
  </si>
  <si>
    <t>SAN ANDRÉS</t>
  </si>
  <si>
    <t>PROVIDENCIA</t>
  </si>
  <si>
    <t>ATLÁNTICO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</si>
  <si>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</si>
  <si>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</si>
  <si>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</si>
  <si>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</si>
  <si>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</si>
  <si>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</si>
  <si>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</si>
  <si>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MANATÍ</t>
  </si>
  <si>
    <t>PALMAR DE VARELA</t>
  </si>
  <si>
    <t>PIOJÓ</t>
  </si>
  <si>
    <t>POLONUEVO</t>
  </si>
  <si>
    <t>PONEDERA</t>
  </si>
  <si>
    <t>PUERTO COLOMBIA</t>
  </si>
  <si>
    <t>REPELÓN</t>
  </si>
  <si>
    <t>SABANAGRANDE</t>
  </si>
  <si>
    <t>SANTA LUCÍA</t>
  </si>
  <si>
    <t>SANTO TOMÁS</t>
  </si>
  <si>
    <t>SOLEDAD</t>
  </si>
  <si>
    <t>SUAN</t>
  </si>
  <si>
    <t>TUBARÁ</t>
  </si>
  <si>
    <t>USIACURÍ</t>
  </si>
  <si>
    <t>BARRANQUILLA</t>
  </si>
  <si>
    <t>BOLÍVAR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</si>
  <si>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</si>
  <si>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</si>
  <si>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</si>
  <si>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</si>
  <si>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</si>
  <si>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</si>
  <si>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</si>
  <si>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</si>
  <si>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</si>
  <si>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CÓRDOBA</t>
  </si>
  <si>
    <t>CLEMENCIA</t>
  </si>
  <si>
    <t>EL CARMEN DE BOLÍVAR</t>
  </si>
  <si>
    <t>EL GUAMO</t>
  </si>
  <si>
    <t>EL PEÑÓN</t>
  </si>
  <si>
    <t>HATILLO DE LOBA</t>
  </si>
  <si>
    <t>MAGANGUÉ</t>
  </si>
  <si>
    <t>MAHATES</t>
  </si>
  <si>
    <t>MARGARITA</t>
  </si>
  <si>
    <t>MARÍA LA BAJA</t>
  </si>
  <si>
    <t>MONTECRISTO</t>
  </si>
  <si>
    <t>MORALES</t>
  </si>
  <si>
    <t>NOROSÍ</t>
  </si>
  <si>
    <t>PINILLOS</t>
  </si>
  <si>
    <t>REGIDOR</t>
  </si>
  <si>
    <t>RÍO VIEJO</t>
  </si>
  <si>
    <t>SAN CRISTÓBAL</t>
  </si>
  <si>
    <t>SAN ESTANISLAO</t>
  </si>
  <si>
    <t>SAN FERNANDO</t>
  </si>
  <si>
    <t>SAN JACINTO</t>
  </si>
  <si>
    <t>SAN JACINTO DEL CAUCA</t>
  </si>
  <si>
    <t>SAN JUAN NEPOMUCENO</t>
  </si>
  <si>
    <t>SAN MARTÍN DE LOBA</t>
  </si>
  <si>
    <t>SAN PABLO</t>
  </si>
  <si>
    <t>SANTA CATALINA</t>
  </si>
  <si>
    <t>SANTA ROSA</t>
  </si>
  <si>
    <t>SANTA ROSA DEL SUR</t>
  </si>
  <si>
    <t>SIMITÍ</t>
  </si>
  <si>
    <t>SOPLAVIENTO</t>
  </si>
  <si>
    <t>TALAIGUA NUEVO</t>
  </si>
  <si>
    <t>TIQUISIO</t>
  </si>
  <si>
    <t>TURBACO</t>
  </si>
  <si>
    <t>VILLANUEVA</t>
  </si>
  <si>
    <t>ZAMBRANO</t>
  </si>
  <si>
    <t>BOYACÁ</t>
  </si>
  <si>
    <t>TUNJA</t>
  </si>
  <si>
    <t>AQUITANIA</t>
  </si>
  <si>
    <t>ARCABUCO</t>
  </si>
  <si>
    <t>BELÉN</t>
  </si>
  <si>
    <t>BOAVITA</t>
  </si>
  <si>
    <t>BUENAVISTA</t>
  </si>
  <si>
    <t>CERINZA</t>
  </si>
  <si>
    <t>CHIQUINQUIRÁ</t>
  </si>
  <si>
    <t>CHISCAS</t>
  </si>
  <si>
    <t>CHITA</t>
  </si>
  <si>
    <t>CHITARAQUE</t>
  </si>
  <si>
    <t>CHIVATÁ</t>
  </si>
  <si>
    <t>CIÉNEGA</t>
  </si>
  <si>
    <t>CÓMBITA</t>
  </si>
  <si>
    <t>COPER</t>
  </si>
  <si>
    <t>CORRALES</t>
  </si>
  <si>
    <t>COVARACHÍA</t>
  </si>
  <si>
    <t>CUBARÁ</t>
  </si>
  <si>
    <t>CUCAITA</t>
  </si>
  <si>
    <t>CUÍTIVA</t>
  </si>
  <si>
    <t>CHÍQUIZA</t>
  </si>
  <si>
    <t>DUITAMA</t>
  </si>
  <si>
    <t>EL COCUY</t>
  </si>
  <si>
    <t>EL ESPINO</t>
  </si>
  <si>
    <t>FIRAVITOBA</t>
  </si>
  <si>
    <t>GACHANTIVÁ</t>
  </si>
  <si>
    <t>GÁMEZA</t>
  </si>
  <si>
    <t>GARAGOA</t>
  </si>
  <si>
    <t>GUACAMAYAS</t>
  </si>
  <si>
    <t>GUATEQUE</t>
  </si>
  <si>
    <t>GUAYATÁ</t>
  </si>
  <si>
    <t>IZA</t>
  </si>
  <si>
    <t>JENESANO</t>
  </si>
  <si>
    <t>LA CAPILLA</t>
  </si>
  <si>
    <t>LA UVITA</t>
  </si>
  <si>
    <t>VILLA DE LEYVA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</si>
  <si>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</si>
  <si>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</si>
  <si>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</si>
  <si>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</si>
  <si>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</si>
  <si>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</si>
  <si>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</si>
  <si>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</si>
  <si>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</si>
  <si>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</si>
  <si>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</si>
  <si>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</si>
  <si>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</si>
  <si>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PAIPA</t>
  </si>
  <si>
    <t>PAJARITO</t>
  </si>
  <si>
    <t>PANQUEBA</t>
  </si>
  <si>
    <t>PAUNA</t>
  </si>
  <si>
    <t>PAYA</t>
  </si>
  <si>
    <t>PAZ DE RÍO</t>
  </si>
  <si>
    <t>PESCA</t>
  </si>
  <si>
    <t>QUÍPAMA</t>
  </si>
  <si>
    <t>RAMIRIQUÍ</t>
  </si>
  <si>
    <t>RÁQUIRA</t>
  </si>
  <si>
    <t>SABOYÁ</t>
  </si>
  <si>
    <t>SÁCHICA</t>
  </si>
  <si>
    <t>SAMACÁ</t>
  </si>
  <si>
    <t>SAN JOSÉ DE PARE</t>
  </si>
  <si>
    <t>SAN LUIS DE GACENO</t>
  </si>
  <si>
    <t>SAN MIGUEL DE SEMA</t>
  </si>
  <si>
    <t>SAN PABLO DE BORBUR</t>
  </si>
  <si>
    <t>SANTANA</t>
  </si>
  <si>
    <t>SANTA MARÍA</t>
  </si>
  <si>
    <t>SANTA ROSA DE VITERBO</t>
  </si>
  <si>
    <t>SANTA SOFÍA</t>
  </si>
  <si>
    <t>SATIVANORTE</t>
  </si>
  <si>
    <t>SATIVASUR</t>
  </si>
  <si>
    <t>SIACHOQUE</t>
  </si>
  <si>
    <t>SOATÁ</t>
  </si>
  <si>
    <t>SOCHA</t>
  </si>
  <si>
    <t>SOGAMOSO</t>
  </si>
  <si>
    <t>SOTAQUIRÁ</t>
  </si>
  <si>
    <t>SORACÁ</t>
  </si>
  <si>
    <t>SUSACÓN</t>
  </si>
  <si>
    <t>SUTAMARCHÁN</t>
  </si>
  <si>
    <t>TASCO</t>
  </si>
  <si>
    <t>TENZA</t>
  </si>
  <si>
    <t>TIBANÁ</t>
  </si>
  <si>
    <t>TIBASOSA</t>
  </si>
  <si>
    <t>TINJACÁ</t>
  </si>
  <si>
    <t>TIPACOQUE</t>
  </si>
  <si>
    <t>TOCA</t>
  </si>
  <si>
    <t>TOGÜÍ</t>
  </si>
  <si>
    <t>TÓPAGA</t>
  </si>
  <si>
    <t>TOTA</t>
  </si>
  <si>
    <t>TUNUNGUÁ</t>
  </si>
  <si>
    <t>TURMEQUÉ</t>
  </si>
  <si>
    <t>TUTA</t>
  </si>
  <si>
    <t>ÚMBITA</t>
  </si>
  <si>
    <t>VENTAQUEMADA</t>
  </si>
  <si>
    <t>VIRACACHÁ</t>
  </si>
  <si>
    <t>ZETAQUIRA</t>
  </si>
  <si>
    <t>BUENAVENTURA</t>
  </si>
  <si>
    <t>MANIZALES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</si>
  <si>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</si>
  <si>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</si>
  <si>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</si>
  <si>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</si>
  <si>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</si>
  <si>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</si>
  <si>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</si>
  <si>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</si>
  <si>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</si>
  <si>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</si>
  <si>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</si>
  <si>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</si>
  <si>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</si>
  <si>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</si>
  <si>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</si>
  <si>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</si>
  <si>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PENSILVANIA</t>
  </si>
  <si>
    <t>RIOSUCIO</t>
  </si>
  <si>
    <t>RISARALDA</t>
  </si>
  <si>
    <t>SALAMINA</t>
  </si>
  <si>
    <t>SAMANÁ</t>
  </si>
  <si>
    <t>SAN JOSÉ</t>
  </si>
  <si>
    <t>SUPÍA</t>
  </si>
  <si>
    <t>VICTORIA</t>
  </si>
  <si>
    <t>VILLAMARÍA</t>
  </si>
  <si>
    <t>VITERBO</t>
  </si>
  <si>
    <t>CAQUETÁ</t>
  </si>
  <si>
    <t>FLORENCIA</t>
  </si>
  <si>
    <t>ALBANIA</t>
  </si>
  <si>
    <t>BELÉN DE LOS ANDAQUÍES</t>
  </si>
  <si>
    <t>CARTAGENA DEL CHAIRÁ</t>
  </si>
  <si>
    <t>CURILLO</t>
  </si>
  <si>
    <t>EL DONCELLO</t>
  </si>
  <si>
    <t>EL PAUJÍL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</si>
  <si>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</si>
  <si>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</si>
  <si>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</si>
  <si>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</si>
  <si>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</si>
  <si>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</si>
  <si>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</si>
  <si>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</si>
  <si>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CARTAGENA DE INDIAS</t>
  </si>
  <si>
    <t>CASANARE</t>
  </si>
  <si>
    <t>YOPAL</t>
  </si>
  <si>
    <t>AGUAZUL</t>
  </si>
  <si>
    <t>HATO COROZAL</t>
  </si>
  <si>
    <t>MANÍ</t>
  </si>
  <si>
    <t>MONTERREY</t>
  </si>
  <si>
    <t>OROCUÉ</t>
  </si>
  <si>
    <t>PAZ DE ARIPORO</t>
  </si>
  <si>
    <t>PORE</t>
  </si>
  <si>
    <t>RECETOR</t>
  </si>
  <si>
    <t>SÁCAMA</t>
  </si>
  <si>
    <t>SAN LUIS DE PALENQUE</t>
  </si>
  <si>
    <t>TAURAMENA</t>
  </si>
  <si>
    <t>TRINIDAD</t>
  </si>
  <si>
    <t>CAUCA</t>
  </si>
  <si>
    <t>POPAYÁN</t>
  </si>
  <si>
    <t>BALBOA</t>
  </si>
  <si>
    <t>BUENOS AIRES</t>
  </si>
  <si>
    <t>CAJIBÍO</t>
  </si>
  <si>
    <t>CALDONO</t>
  </si>
  <si>
    <t>CALOTO</t>
  </si>
  <si>
    <t>CORINTO</t>
  </si>
  <si>
    <t>EL TAMBO</t>
  </si>
  <si>
    <t>GUACHENÉ</t>
  </si>
  <si>
    <t>INZÁ</t>
  </si>
  <si>
    <t>JAMBALÓ</t>
  </si>
  <si>
    <t>LA SIERRA</t>
  </si>
  <si>
    <t>LA VEGA</t>
  </si>
  <si>
    <t>LÓPEZ DE MICAY</t>
  </si>
  <si>
    <t>MERCADERES</t>
  </si>
  <si>
    <t>MIRANDA</t>
  </si>
  <si>
    <t>PADILLA</t>
  </si>
  <si>
    <t>PÁEZ</t>
  </si>
  <si>
    <t>PATÍA</t>
  </si>
  <si>
    <t>PIAMONTE</t>
  </si>
  <si>
    <t>PUERTO TEJADA</t>
  </si>
  <si>
    <t>PURACÉ</t>
  </si>
  <si>
    <t>ROSAS</t>
  </si>
  <si>
    <t>SANTANDER DE QUILICHAO</t>
  </si>
  <si>
    <t>SILVIA</t>
  </si>
  <si>
    <t>SUÁREZ</t>
  </si>
  <si>
    <t>SUCRE</t>
  </si>
  <si>
    <t>TIMBÍO</t>
  </si>
  <si>
    <t>TIMBIQUÍ</t>
  </si>
  <si>
    <t>TORIBÍO</t>
  </si>
  <si>
    <t>TOTORÓ</t>
  </si>
  <si>
    <t>VILLA RICA</t>
  </si>
  <si>
    <t>CESAR</t>
  </si>
  <si>
    <t>VALLEDUPAR</t>
  </si>
  <si>
    <t>AGUACHICA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</si>
  <si>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</si>
  <si>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</si>
  <si>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</si>
  <si>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</si>
  <si>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</si>
  <si>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</si>
  <si>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</si>
  <si>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</si>
  <si>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</si>
  <si>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</si>
  <si>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GONZÁLEZ</t>
  </si>
  <si>
    <t>LA GLORIA</t>
  </si>
  <si>
    <t>LA JAGUA DE IBIRICO</t>
  </si>
  <si>
    <t>MANAURE BALCÓN DEL CESAR</t>
  </si>
  <si>
    <t>PAILITAS</t>
  </si>
  <si>
    <t>PELAYA</t>
  </si>
  <si>
    <t>PUEBLO BELLO</t>
  </si>
  <si>
    <t>RÍO DE ORO</t>
  </si>
  <si>
    <t>LA PAZ</t>
  </si>
  <si>
    <t>SAN ALBERTO</t>
  </si>
  <si>
    <t>SAN DIEGO</t>
  </si>
  <si>
    <t>SAN MARTÍN</t>
  </si>
  <si>
    <t>TAMALAMEQUE</t>
  </si>
  <si>
    <t>CHOCÓ</t>
  </si>
  <si>
    <t>QUIBDÓ</t>
  </si>
  <si>
    <t>ACANDÍ</t>
  </si>
  <si>
    <t>ALTO BAUDÓ</t>
  </si>
  <si>
    <t>ATRATO</t>
  </si>
  <si>
    <t>BAGADÓ</t>
  </si>
  <si>
    <t>BAHÍA SOLANO</t>
  </si>
  <si>
    <t>BAJO BAUDÓ</t>
  </si>
  <si>
    <t>BOJAYÁ</t>
  </si>
  <si>
    <t>CARMEN DEL DARIÉN</t>
  </si>
  <si>
    <t>CÉRTEGUI</t>
  </si>
  <si>
    <t>CONDOTO</t>
  </si>
  <si>
    <t>EL CARMEN DE ATRATO</t>
  </si>
  <si>
    <t>ISTMINA</t>
  </si>
  <si>
    <t>LLORÓ</t>
  </si>
  <si>
    <t>MEDIO BAUDÓ</t>
  </si>
  <si>
    <t>MEDIO SAN JUAN</t>
  </si>
  <si>
    <t>NÓVITA</t>
  </si>
  <si>
    <t>NUQUÍ</t>
  </si>
  <si>
    <t>RÍO IRÓ</t>
  </si>
  <si>
    <t>RÍO QUITO</t>
  </si>
  <si>
    <t>TADÓ</t>
  </si>
  <si>
    <t>UNGUÍA</t>
  </si>
  <si>
    <t>UNIÓN PANAMERICANA</t>
  </si>
  <si>
    <t>MONTERÍA</t>
  </si>
  <si>
    <t>AYAPEL</t>
  </si>
  <si>
    <t>CANALETE</t>
  </si>
  <si>
    <t>CERETÉ</t>
  </si>
  <si>
    <t>CHIMÁ</t>
  </si>
  <si>
    <t>CHINÚ</t>
  </si>
  <si>
    <t>CIÉNAGA DE ORO</t>
  </si>
  <si>
    <t>COTORRA</t>
  </si>
  <si>
    <t>LA APARTADA</t>
  </si>
  <si>
    <t>LORICA</t>
  </si>
  <si>
    <t>LOS CÓRDOBAS</t>
  </si>
  <si>
    <t>MOMIL</t>
  </si>
  <si>
    <t>MONTELÍBANO</t>
  </si>
  <si>
    <t>MOÑITOS</t>
  </si>
  <si>
    <t>PLANETA RICA</t>
  </si>
  <si>
    <t>PUEBLO NUEVO</t>
  </si>
  <si>
    <t>PUERTO ESCONDIDO</t>
  </si>
  <si>
    <t>PUERTO LIBERTADOR</t>
  </si>
  <si>
    <t>PURÍSIMA DE LA CONCEPCIÓN</t>
  </si>
  <si>
    <t>SAHAGÚN</t>
  </si>
  <si>
    <t>SAN ANDRÉS DE SOTAVENTO</t>
  </si>
  <si>
    <t>SAN ANTERO</t>
  </si>
  <si>
    <t>SAN BERNARDO DEL VIENTO</t>
  </si>
  <si>
    <t>SAN JOSÉ DE URÉ</t>
  </si>
  <si>
    <t>SAN PELAYO</t>
  </si>
  <si>
    <t>TIERRALTA</t>
  </si>
  <si>
    <t>TUCHÍN</t>
  </si>
  <si>
    <t>VALENCIA</t>
  </si>
  <si>
    <t>CUNDINAMARCA</t>
  </si>
  <si>
    <t>AGUA DE DIOS</t>
  </si>
  <si>
    <t>ALBÁN</t>
  </si>
  <si>
    <t>ANAPOIMA</t>
  </si>
  <si>
    <t>ANOLAIMA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</si>
  <si>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</si>
  <si>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</si>
  <si>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</si>
  <si>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</si>
  <si>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</si>
  <si>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</si>
  <si>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</si>
  <si>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</si>
  <si>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CÁQUEZA</t>
  </si>
  <si>
    <t>CARMEN DE CARUPA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</si>
  <si>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</si>
  <si>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</si>
  <si>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</si>
  <si>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</si>
  <si>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</si>
  <si>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</si>
  <si>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</si>
  <si>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</si>
  <si>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EL ROSAL</t>
  </si>
  <si>
    <t>FACATATIVÁ</t>
  </si>
  <si>
    <t>FÓMEQUE</t>
  </si>
  <si>
    <t>FOSCA</t>
  </si>
  <si>
    <t>FUNZA</t>
  </si>
  <si>
    <t>FÚQUENE</t>
  </si>
  <si>
    <t>FUSAGASUGÁ</t>
  </si>
  <si>
    <t>GACHALÁ</t>
  </si>
  <si>
    <t>GACHANCIPÁ</t>
  </si>
  <si>
    <t>GACHETÁ</t>
  </si>
  <si>
    <t>GAMA</t>
  </si>
  <si>
    <t>GIRARDOT</t>
  </si>
  <si>
    <t>GUACHETÁ</t>
  </si>
  <si>
    <t>GUADUAS</t>
  </si>
  <si>
    <t>GUASCA</t>
  </si>
  <si>
    <t>GUATAQUÍ</t>
  </si>
  <si>
    <t>GUATAVITA</t>
  </si>
  <si>
    <t>GUAYABETAL</t>
  </si>
  <si>
    <t>JUNÍN</t>
  </si>
  <si>
    <t>LA CALERA</t>
  </si>
  <si>
    <t>LA MESA</t>
  </si>
  <si>
    <t>LA PALMA</t>
  </si>
  <si>
    <t>LENGUAZAQUE</t>
  </si>
  <si>
    <t>MACHETÁ</t>
  </si>
  <si>
    <t>MADRID</t>
  </si>
  <si>
    <t>MANTA</t>
  </si>
  <si>
    <t>MOSQUERA</t>
  </si>
  <si>
    <t>NARIÑO</t>
  </si>
  <si>
    <t>NEMOCÓN</t>
  </si>
  <si>
    <t>NILO</t>
  </si>
  <si>
    <t>NIMAIMA</t>
  </si>
  <si>
    <t>NOCAIMA</t>
  </si>
  <si>
    <t>PACHO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</si>
  <si>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</si>
  <si>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</si>
  <si>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</si>
  <si>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</si>
  <si>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</si>
  <si>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</si>
  <si>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</si>
  <si>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</si>
  <si>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</si>
  <si>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</si>
  <si>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</si>
  <si>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</si>
  <si>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</si>
  <si>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</si>
  <si>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</si>
  <si>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</si>
  <si>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</si>
  <si>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</si>
  <si>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</si>
  <si>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</si>
  <si>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</si>
  <si>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</si>
  <si>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</si>
  <si>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</si>
  <si>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</si>
  <si>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</si>
  <si>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</si>
  <si>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</si>
  <si>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</si>
  <si>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</si>
  <si>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</si>
  <si>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TOCAIMA</t>
  </si>
  <si>
    <t>TOCANCIPÁ</t>
  </si>
  <si>
    <t>UBALÁ</t>
  </si>
  <si>
    <t>UBAQUE</t>
  </si>
  <si>
    <t>UNE</t>
  </si>
  <si>
    <t>ÚTICA</t>
  </si>
  <si>
    <t>VERGARA</t>
  </si>
  <si>
    <t>VIANÍ</t>
  </si>
  <si>
    <t>VILLAPINZÓN</t>
  </si>
  <si>
    <t>VILLETA</t>
  </si>
  <si>
    <t>VIOTÁ</t>
  </si>
  <si>
    <t>YACOPÍ</t>
  </si>
  <si>
    <t>ZIPACÓN</t>
  </si>
  <si>
    <t>ZIPAQUIRÁ</t>
  </si>
  <si>
    <t>GUAINÍA</t>
  </si>
  <si>
    <t>INÍRIDA</t>
  </si>
  <si>
    <t>SAN FELIPE</t>
  </si>
  <si>
    <t>GUAVIARE</t>
  </si>
  <si>
    <t>SAN JOSÉ DEL GUAVIARE</t>
  </si>
  <si>
    <t>EL RETORNO</t>
  </si>
  <si>
    <t>HUILA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</si>
  <si>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</si>
  <si>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</si>
  <si>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</si>
  <si>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</si>
  <si>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</si>
  <si>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</si>
  <si>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</si>
  <si>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</si>
  <si>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</si>
  <si>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ELÍAS</t>
  </si>
  <si>
    <t>GARZÓN</t>
  </si>
  <si>
    <t>GIGANTE</t>
  </si>
  <si>
    <t>HOBO</t>
  </si>
  <si>
    <t>ÍQUIRA</t>
  </si>
  <si>
    <t>ISNOS</t>
  </si>
  <si>
    <t>LA ARGENTINA</t>
  </si>
  <si>
    <t>LA PLATA</t>
  </si>
  <si>
    <t>NÁTAGA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</si>
  <si>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</si>
  <si>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</si>
  <si>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</si>
  <si>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</si>
  <si>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</si>
  <si>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</si>
  <si>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</si>
  <si>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AGUSTÍN</t>
  </si>
  <si>
    <t>SUAZA</t>
  </si>
  <si>
    <t>TARQUI</t>
  </si>
  <si>
    <t>TESALIA</t>
  </si>
  <si>
    <t>TELLO</t>
  </si>
  <si>
    <t>TERUEL</t>
  </si>
  <si>
    <t>TIMANÁ</t>
  </si>
  <si>
    <t>VILLAVIEJA</t>
  </si>
  <si>
    <t>YAGUARÁ</t>
  </si>
  <si>
    <t>LA GUAJIRA</t>
  </si>
  <si>
    <t>RIOHACHA</t>
  </si>
  <si>
    <t>BARRANCAS</t>
  </si>
  <si>
    <t>DIBULLA</t>
  </si>
  <si>
    <t>DISTRACCIÓN</t>
  </si>
  <si>
    <t>EL MOLINO</t>
  </si>
  <si>
    <t>FONSECA</t>
  </si>
  <si>
    <t>HATONUEVO</t>
  </si>
  <si>
    <t>LA JAGUA DEL PILAR</t>
  </si>
  <si>
    <t>MAICAO</t>
  </si>
  <si>
    <t>MANAURE</t>
  </si>
  <si>
    <t>SAN JUAN DEL CESAR</t>
  </si>
  <si>
    <t>URIBIA</t>
  </si>
  <si>
    <t>URUMITA</t>
  </si>
  <si>
    <t>MAGDALENA</t>
  </si>
  <si>
    <t>ALGARROBO</t>
  </si>
  <si>
    <t>ARACATACA</t>
  </si>
  <si>
    <t>ARIGUANÍ</t>
  </si>
  <si>
    <t>CERRO DE SAN ANTONIO</t>
  </si>
  <si>
    <t>CHIVOLO</t>
  </si>
  <si>
    <t>CIÉNAGA</t>
  </si>
  <si>
    <t>EL BANCO</t>
  </si>
  <si>
    <t>EL PIÑÓN</t>
  </si>
  <si>
    <t>EL RETÉN</t>
  </si>
  <si>
    <t>FUNDACIÓN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</si>
  <si>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</si>
  <si>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</si>
  <si>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</si>
  <si>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</si>
  <si>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</si>
  <si>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</si>
  <si>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</si>
  <si>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</si>
  <si>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ÁNGEL</t>
  </si>
  <si>
    <t>SAN SEBASTIÁN DE BUENAVISTA</t>
  </si>
  <si>
    <t>SAN ZENÓN</t>
  </si>
  <si>
    <t>SANTA ANA</t>
  </si>
  <si>
    <t>SANTA BÁRBARA DE PINTO</t>
  </si>
  <si>
    <t>SITIONUEVO</t>
  </si>
  <si>
    <t>TENERIFE</t>
  </si>
  <si>
    <t>ZAPAYÁN</t>
  </si>
  <si>
    <t>ZONA BANANERA</t>
  </si>
  <si>
    <t>META</t>
  </si>
  <si>
    <t>VILLAVICENCIO</t>
  </si>
  <si>
    <t>ACACÍAS</t>
  </si>
  <si>
    <t>BARRANCA DE UPÍA</t>
  </si>
  <si>
    <t>CABUYARO</t>
  </si>
  <si>
    <t>CASTILLA LA NUEVA</t>
  </si>
  <si>
    <t>CUMARAL</t>
  </si>
  <si>
    <t>EL CASTILLO</t>
  </si>
  <si>
    <t>EL DORADO</t>
  </si>
  <si>
    <t>FUENTE DE ORO</t>
  </si>
  <si>
    <t>MAPIRIPÁN</t>
  </si>
  <si>
    <t>MESETAS</t>
  </si>
  <si>
    <t>LA MACARENA</t>
  </si>
  <si>
    <t>URIBE</t>
  </si>
  <si>
    <t>LEJANÍAS</t>
  </si>
  <si>
    <t>PUERTO CONCORDIA</t>
  </si>
  <si>
    <t>PUERTO GAITÁN</t>
  </si>
  <si>
    <t>PUERTO LÓPEZ</t>
  </si>
  <si>
    <t>PUERTO LLERAS</t>
  </si>
  <si>
    <t>RESTREPO</t>
  </si>
  <si>
    <t>SAN CARLOS DE GUAROA</t>
  </si>
  <si>
    <t>SAN JUAN DE ARAMA</t>
  </si>
  <si>
    <t>VISTAHERMOSA</t>
  </si>
  <si>
    <t>PASTO</t>
  </si>
  <si>
    <t>ALDANA</t>
  </si>
  <si>
    <t>ARBOLEDA</t>
  </si>
  <si>
    <t>BARBACOAS</t>
  </si>
  <si>
    <t>BUESACO</t>
  </si>
  <si>
    <t>COLÓN</t>
  </si>
  <si>
    <t>CONSACÁ</t>
  </si>
  <si>
    <t>CONTADERO</t>
  </si>
  <si>
    <t>CUMBAL</t>
  </si>
  <si>
    <t>CUMBITARA</t>
  </si>
  <si>
    <t>CHACHAGÜÍ</t>
  </si>
  <si>
    <t>EL CHARCO</t>
  </si>
  <si>
    <t>EL PEÑOL</t>
  </si>
  <si>
    <t>EL ROSARIO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</si>
  <si>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</si>
  <si>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</si>
  <si>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</si>
  <si>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</si>
  <si>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</si>
  <si>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</si>
  <si>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</si>
  <si>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</si>
  <si>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</si>
  <si>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</si>
  <si>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</si>
  <si>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</si>
  <si>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</si>
  <si>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</si>
  <si>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MAGÜÍ</t>
  </si>
  <si>
    <t>MALLAMA</t>
  </si>
  <si>
    <t>OLAYA HERRERA</t>
  </si>
  <si>
    <t>OSPINA</t>
  </si>
  <si>
    <t>FRANCISCO PIZARRO</t>
  </si>
  <si>
    <t>POLICARPA</t>
  </si>
  <si>
    <t>POTOSÍ</t>
  </si>
  <si>
    <t>PUERRES</t>
  </si>
  <si>
    <t>PUPIALES</t>
  </si>
  <si>
    <t>ROBERTO PAYÁN</t>
  </si>
  <si>
    <t>SAMANIEGO</t>
  </si>
  <si>
    <t>SANDONÁ</t>
  </si>
  <si>
    <t>SAN LORENZO</t>
  </si>
  <si>
    <t>SAN PEDRO DE CARTAGO</t>
  </si>
  <si>
    <t>SANTACRUZ</t>
  </si>
  <si>
    <t>SAPUYES</t>
  </si>
  <si>
    <t>TAMINANGO</t>
  </si>
  <si>
    <t>TANGUA</t>
  </si>
  <si>
    <t>SAN ANDRÉS DE TUMACO</t>
  </si>
  <si>
    <t>TÚQUERRES</t>
  </si>
  <si>
    <t>YACUANQUER</t>
  </si>
  <si>
    <t>NORTE DE SANTANDER</t>
  </si>
  <si>
    <t>ÁBREGO</t>
  </si>
  <si>
    <t>ARBOLEDAS</t>
  </si>
  <si>
    <t>BOCHALEMA</t>
  </si>
  <si>
    <t>BUCARASICA</t>
  </si>
  <si>
    <t>CÁCOTA</t>
  </si>
  <si>
    <t>CÁCHIRA</t>
  </si>
  <si>
    <t>CHINÁCOTA</t>
  </si>
  <si>
    <t>CHITAGÁ</t>
  </si>
  <si>
    <t>CONVENCIÓN</t>
  </si>
  <si>
    <t>CUCUTILLA</t>
  </si>
  <si>
    <t>DURANIA</t>
  </si>
  <si>
    <t>EL CARMEN</t>
  </si>
  <si>
    <t>EL TARRA</t>
  </si>
  <si>
    <t>EL ZULIA</t>
  </si>
  <si>
    <t>GRAMALOTE</t>
  </si>
  <si>
    <t>HACARÍ</t>
  </si>
  <si>
    <t>HERRÁN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</si>
  <si>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</si>
  <si>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</si>
  <si>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</si>
  <si>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</si>
  <si>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</si>
  <si>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</si>
  <si>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</si>
  <si>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</si>
  <si>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</si>
  <si>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RAGONVALIA</t>
  </si>
  <si>
    <t>SALAZAR</t>
  </si>
  <si>
    <t>SAN CALIXTO</t>
  </si>
  <si>
    <t>SANTIAGO</t>
  </si>
  <si>
    <t>SARDINATA</t>
  </si>
  <si>
    <t>SILOS</t>
  </si>
  <si>
    <t>TEORAMA</t>
  </si>
  <si>
    <t>TIBÚ</t>
  </si>
  <si>
    <t>VILLA CARO</t>
  </si>
  <si>
    <t>VILLA DEL ROSARIO</t>
  </si>
  <si>
    <t>PUTUMAYO</t>
  </si>
  <si>
    <t>MOCOA</t>
  </si>
  <si>
    <t>ORITO</t>
  </si>
  <si>
    <t>PUERTO ASÍS</t>
  </si>
  <si>
    <t>PUERTO CAICEDO</t>
  </si>
  <si>
    <t>PUERTO GUZMÁN</t>
  </si>
  <si>
    <t>PUERTO LEGUÍZAMO</t>
  </si>
  <si>
    <t>SIBUNDOY</t>
  </si>
  <si>
    <t>SAN MIGUEL</t>
  </si>
  <si>
    <t>VALLE DEL GUAMUEZ</t>
  </si>
  <si>
    <t>VILLAGARZÓN</t>
  </si>
  <si>
    <t>QUINDÍO</t>
  </si>
  <si>
    <t>CALARCÁ</t>
  </si>
  <si>
    <t>CIRCASIA</t>
  </si>
  <si>
    <t>FILANDIA</t>
  </si>
  <si>
    <t>GÉNOVA</t>
  </si>
  <si>
    <t>LA TEBAIDA</t>
  </si>
  <si>
    <t>MONTENEGRO</t>
  </si>
  <si>
    <t>PIJAO</t>
  </si>
  <si>
    <t>QUIMBAYA</t>
  </si>
  <si>
    <t>SALENTO</t>
  </si>
  <si>
    <t>PEREIRA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</si>
  <si>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</si>
  <si>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</si>
  <si>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</si>
  <si>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</si>
  <si>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</si>
  <si>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</si>
  <si>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</si>
  <si>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</si>
  <si>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PUEBLO RICO</t>
  </si>
  <si>
    <t>QUINCHÍA</t>
  </si>
  <si>
    <t>SANTA ROSA DE CABAL</t>
  </si>
  <si>
    <t>SANTUARIO</t>
  </si>
  <si>
    <t>SANTA MARTA</t>
  </si>
  <si>
    <t>SANTANDER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</si>
  <si>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</si>
  <si>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</si>
  <si>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</si>
  <si>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</si>
  <si>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</si>
  <si>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</si>
  <si>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</si>
  <si>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CARCASÍ</t>
  </si>
  <si>
    <t>CEPITÁ</t>
  </si>
  <si>
    <t>CERRITO</t>
  </si>
  <si>
    <t>CHARALÁ</t>
  </si>
  <si>
    <t>CHIMA</t>
  </si>
  <si>
    <t>CHIPATÁ</t>
  </si>
  <si>
    <t>CIMITARRA</t>
  </si>
  <si>
    <t>CONFINES</t>
  </si>
  <si>
    <t>CONTRATACIÓN</t>
  </si>
  <si>
    <t>COROMORO</t>
  </si>
  <si>
    <t>CURITÍ</t>
  </si>
  <si>
    <t>EL CARMEN DE CHUCURÍ</t>
  </si>
  <si>
    <t>EL GUACAMAYO</t>
  </si>
  <si>
    <t>EL PLAYÓN</t>
  </si>
  <si>
    <t>ENCINO</t>
  </si>
  <si>
    <t>ENCISO</t>
  </si>
  <si>
    <t>FLORIÁN</t>
  </si>
  <si>
    <t>FLORIDABLANCA</t>
  </si>
  <si>
    <t>GALÁN</t>
  </si>
  <si>
    <t>GÁMBITA</t>
  </si>
  <si>
    <t>GIRÓN</t>
  </si>
  <si>
    <t>GUACA</t>
  </si>
  <si>
    <t>GUAPOTÁ</t>
  </si>
  <si>
    <t>GUAVATÁ</t>
  </si>
  <si>
    <t>GÜEPSA</t>
  </si>
  <si>
    <t>HATO</t>
  </si>
  <si>
    <t>LA BELLEZA</t>
  </si>
  <si>
    <t>LANDÁZURI</t>
  </si>
  <si>
    <t>LEBRIJA</t>
  </si>
  <si>
    <t>LOS SANTOS</t>
  </si>
  <si>
    <t>MACARAVITA</t>
  </si>
  <si>
    <t>MÁLAGA</t>
  </si>
  <si>
    <t>MATANZA</t>
  </si>
  <si>
    <t>MOGOTES</t>
  </si>
  <si>
    <t>MOLAGAVITA</t>
  </si>
  <si>
    <t>OIBA</t>
  </si>
  <si>
    <t>ONZAGA</t>
  </si>
  <si>
    <t>PÁRAMO</t>
  </si>
  <si>
    <t>PIEDECUESTA</t>
  </si>
  <si>
    <t>PINCHOTE</t>
  </si>
  <si>
    <t>PUENTE NACIONAL</t>
  </si>
  <si>
    <t>PUERTO PARRA</t>
  </si>
  <si>
    <t>PUERTO WILCHES</t>
  </si>
  <si>
    <t>SABANA DE TORRES</t>
  </si>
  <si>
    <t>SAN BENITO</t>
  </si>
  <si>
    <t>SAN GIL</t>
  </si>
  <si>
    <t>SAN JOAQUÍN</t>
  </si>
  <si>
    <t>SAN JOSÉ DE MIRANDA</t>
  </si>
  <si>
    <t>SAN VICENTE DE CHUCURÍ</t>
  </si>
  <si>
    <t>SANTA HELENA DEL OPÓN</t>
  </si>
  <si>
    <t>SOCORRO</t>
  </si>
  <si>
    <t>SUAITA</t>
  </si>
  <si>
    <t>TONA</t>
  </si>
  <si>
    <t>VALLE DE SAN JOSÉ</t>
  </si>
  <si>
    <t>VÉLEZ</t>
  </si>
  <si>
    <t>VETAS</t>
  </si>
  <si>
    <t>ZAPATOCA</t>
  </si>
  <si>
    <t>SINCELEJO</t>
  </si>
  <si>
    <t>CAIMITO</t>
  </si>
  <si>
    <t>COROZAL</t>
  </si>
  <si>
    <t>COVEÑAS</t>
  </si>
  <si>
    <t>CHALÁN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</si>
  <si>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</si>
  <si>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</si>
  <si>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</si>
  <si>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</si>
  <si>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</si>
  <si>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</si>
  <si>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</si>
  <si>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</si>
  <si>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</si>
  <si>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</si>
  <si>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JUAN DE BETULIA</t>
  </si>
  <si>
    <t>SAN MARCOS</t>
  </si>
  <si>
    <t>SAN ONOFRE</t>
  </si>
  <si>
    <t>SAN PEDRO</t>
  </si>
  <si>
    <t>SAN LUIS DE SINCÉ</t>
  </si>
  <si>
    <t>SANTIAGO DE TOLÚ</t>
  </si>
  <si>
    <t>TOLIMA</t>
  </si>
  <si>
    <t>IBAGUÉ</t>
  </si>
  <si>
    <t>ALPUJARRA</t>
  </si>
  <si>
    <t>ALVARADO</t>
  </si>
  <si>
    <t>AMBALEMA</t>
  </si>
  <si>
    <t>ANZOÁTEGUI</t>
  </si>
  <si>
    <t>ARMERO</t>
  </si>
  <si>
    <t>ATACO</t>
  </si>
  <si>
    <t>CAJAMARCA</t>
  </si>
  <si>
    <t>CARMEN DE APICALÁ</t>
  </si>
  <si>
    <t>CASABIANCA</t>
  </si>
  <si>
    <t>CHAPARRAL</t>
  </si>
  <si>
    <t>COELLO</t>
  </si>
  <si>
    <t>COYAIMA</t>
  </si>
  <si>
    <t>CUNDAY</t>
  </si>
  <si>
    <t>DOLORES</t>
  </si>
  <si>
    <t>ESPINAL</t>
  </si>
  <si>
    <t>FLANDES</t>
  </si>
  <si>
    <t>FRESNO</t>
  </si>
  <si>
    <t>GUAMO</t>
  </si>
  <si>
    <t>HERVEO</t>
  </si>
  <si>
    <t>HONDA</t>
  </si>
  <si>
    <t>ICONONZO</t>
  </si>
  <si>
    <t>LÉRIDA</t>
  </si>
  <si>
    <t>LÍBANO</t>
  </si>
  <si>
    <t>SAN SEBASTIÁN DE MARIQUITA</t>
  </si>
  <si>
    <t>MELGAR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</si>
  <si>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</si>
  <si>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</si>
  <si>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</si>
  <si>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</si>
  <si>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</si>
  <si>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</si>
  <si>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</si>
  <si>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</si>
  <si>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ROVIRA</t>
  </si>
  <si>
    <t>SALDAÑA</t>
  </si>
  <si>
    <t>SAN ANTONIO</t>
  </si>
  <si>
    <t>VALLE DE SAN JUAN</t>
  </si>
  <si>
    <t>VENADILLO</t>
  </si>
  <si>
    <t>VILLAHERMOSA</t>
  </si>
  <si>
    <t>VILLARRICA</t>
  </si>
  <si>
    <t>VALLE DEL CAUCA</t>
  </si>
  <si>
    <t>ALCALÁ</t>
  </si>
  <si>
    <t>ANDALUCÍA</t>
  </si>
  <si>
    <t>ANSERMANUEVO</t>
  </si>
  <si>
    <t>GUADALAJARA DE BUGA</t>
  </si>
  <si>
    <t>BUGALAGRANDE</t>
  </si>
  <si>
    <t>CAICEDONIA</t>
  </si>
  <si>
    <t>CALIMA</t>
  </si>
  <si>
    <t>CARTAGO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</si>
  <si>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</si>
  <si>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</si>
  <si>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</si>
  <si>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</si>
  <si>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</si>
  <si>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</si>
  <si>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</si>
  <si>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</si>
  <si>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JAMUNDÍ</t>
  </si>
  <si>
    <t>LA CUMBRE</t>
  </si>
  <si>
    <t>LA VICTORIA</t>
  </si>
  <si>
    <t>OBANDO</t>
  </si>
  <si>
    <t>PALMIRA</t>
  </si>
  <si>
    <t>PRADERA</t>
  </si>
  <si>
    <t>RIOFRÍO</t>
  </si>
  <si>
    <t>ROLDANILLO</t>
  </si>
  <si>
    <t>SEVILLA</t>
  </si>
  <si>
    <t>TORO</t>
  </si>
  <si>
    <t>TRUJILLO</t>
  </si>
  <si>
    <t>TULUÁ</t>
  </si>
  <si>
    <t>ULLOA</t>
  </si>
  <si>
    <t>VERSALLES</t>
  </si>
  <si>
    <t>VIJES</t>
  </si>
  <si>
    <t>YOTOCO</t>
  </si>
  <si>
    <t>YUMBO</t>
  </si>
  <si>
    <t>ZARZAL</t>
  </si>
  <si>
    <t>VAUPÉS</t>
  </si>
  <si>
    <t>MITÚ</t>
  </si>
  <si>
    <t>CARURÚ</t>
  </si>
  <si>
    <t>TARAIRA</t>
  </si>
  <si>
    <t>YAVARATÉ</t>
  </si>
  <si>
    <t>VICHADA</t>
  </si>
  <si>
    <t>PUERTO CARREÑO</t>
  </si>
  <si>
    <t>LA PRIMAVERA</t>
  </si>
  <si>
    <t>CUMARIBO</t>
  </si>
  <si>
    <t>COD_DANE</t>
  </si>
  <si>
    <t>FECHA1erFIS</t>
  </si>
  <si>
    <t>BOGOTÁ, D.C.</t>
  </si>
  <si>
    <t>ARCHIPIÉLAGO DE SAN ANDRÉS, PROVIDENCIA Y SANTA CATALINA</t>
  </si>
  <si>
    <t>MUNICIPIO</t>
  </si>
  <si>
    <t>COD_DEPARTAMENTO</t>
  </si>
  <si>
    <t>COD_MUNICIPIO</t>
  </si>
  <si>
    <t>15740</t>
  </si>
  <si>
    <t>15753</t>
  </si>
  <si>
    <t>17614</t>
  </si>
  <si>
    <t>19290</t>
  </si>
  <si>
    <t>19548</t>
  </si>
  <si>
    <t>25899</t>
  </si>
  <si>
    <t>50577</t>
  </si>
  <si>
    <t>52693</t>
  </si>
  <si>
    <t>76834</t>
  </si>
  <si>
    <t>PUEBLORRICO</t>
  </si>
  <si>
    <t>SAN JOSÉ DE LA MONTAÑA</t>
  </si>
  <si>
    <t>SANTA CRUZ DE MOMPOX</t>
  </si>
  <si>
    <t>SAN PEDRO DE LOS MILAGROS</t>
  </si>
  <si>
    <t>GUAPI</t>
  </si>
  <si>
    <t>PIENDAMÓ - TUNÍA</t>
  </si>
  <si>
    <t>EL CANTÓN DEL SAN PABLO</t>
  </si>
  <si>
    <t>EL LITORAL DEL SAN JUAN</t>
  </si>
  <si>
    <t>VILLA DE SAN DIEGO DE UBATÉ</t>
  </si>
  <si>
    <t>CUBARRAL</t>
  </si>
  <si>
    <t>ANCUYA</t>
  </si>
  <si>
    <t>CUASPUD CARLOSAMA</t>
  </si>
  <si>
    <t>SAN JOSÉ DE CÚCUTA</t>
  </si>
  <si>
    <t>COLOSÓ</t>
  </si>
  <si>
    <t>SAN JOSÉ DE TOLUVIEJO</t>
  </si>
  <si>
    <t>SANTIAGO DE CALI</t>
  </si>
  <si>
    <t>PUERTO BOYACÁ</t>
  </si>
  <si>
    <t>27493</t>
  </si>
  <si>
    <t>27425</t>
  </si>
  <si>
    <t>27745</t>
  </si>
  <si>
    <t>91536</t>
  </si>
  <si>
    <t>91263</t>
  </si>
  <si>
    <t>91430</t>
  </si>
  <si>
    <t>27660</t>
  </si>
  <si>
    <t>91530</t>
  </si>
  <si>
    <t>94888</t>
  </si>
  <si>
    <t>91460</t>
  </si>
  <si>
    <t>50245</t>
  </si>
  <si>
    <t>50686</t>
  </si>
  <si>
    <t>94887</t>
  </si>
  <si>
    <t>94886</t>
  </si>
  <si>
    <t>94885</t>
  </si>
  <si>
    <t>27372</t>
  </si>
  <si>
    <t>97511</t>
  </si>
  <si>
    <t>15276</t>
  </si>
  <si>
    <t>15839</t>
  </si>
  <si>
    <t>15755</t>
  </si>
  <si>
    <t>15114</t>
  </si>
  <si>
    <t>15092</t>
  </si>
  <si>
    <t>15621</t>
  </si>
  <si>
    <t>15762</t>
  </si>
  <si>
    <t>25807</t>
  </si>
  <si>
    <t>97777</t>
  </si>
  <si>
    <t>25368</t>
  </si>
  <si>
    <t>86755</t>
  </si>
  <si>
    <t>15550</t>
  </si>
  <si>
    <t>15377</t>
  </si>
  <si>
    <t>85300</t>
  </si>
  <si>
    <t>15236</t>
  </si>
  <si>
    <t>15778</t>
  </si>
  <si>
    <t>15761</t>
  </si>
  <si>
    <t>15172</t>
  </si>
  <si>
    <t>15022</t>
  </si>
  <si>
    <t>05483</t>
  </si>
  <si>
    <t>05576</t>
  </si>
  <si>
    <t>81220</t>
  </si>
  <si>
    <t>81591</t>
  </si>
  <si>
    <t>15514</t>
  </si>
  <si>
    <t>15135</t>
  </si>
  <si>
    <t>15090</t>
  </si>
  <si>
    <t>15660</t>
  </si>
  <si>
    <t>85015</t>
  </si>
  <si>
    <t>68370</t>
  </si>
  <si>
    <t>68121</t>
  </si>
  <si>
    <t>73622</t>
  </si>
  <si>
    <t>73270</t>
  </si>
  <si>
    <t>68320</t>
  </si>
  <si>
    <t>73461</t>
  </si>
  <si>
    <t>68368</t>
  </si>
  <si>
    <t>25823</t>
  </si>
  <si>
    <t>25871</t>
  </si>
  <si>
    <t>25518</t>
  </si>
  <si>
    <t>15401</t>
  </si>
  <si>
    <t>94343</t>
  </si>
  <si>
    <t>25398</t>
  </si>
  <si>
    <t>68780</t>
  </si>
  <si>
    <t>68169</t>
  </si>
  <si>
    <t>25339</t>
  </si>
  <si>
    <t>15673</t>
  </si>
  <si>
    <t>15332</t>
  </si>
  <si>
    <t>68745</t>
  </si>
  <si>
    <t>68524</t>
  </si>
  <si>
    <t>68522</t>
  </si>
  <si>
    <t>85400</t>
  </si>
  <si>
    <t>85225</t>
  </si>
  <si>
    <t>25168</t>
  </si>
  <si>
    <t>85136</t>
  </si>
  <si>
    <t>68686</t>
  </si>
  <si>
    <t>25328</t>
  </si>
  <si>
    <t>52258</t>
  </si>
  <si>
    <t>68498</t>
  </si>
  <si>
    <t>25438</t>
  </si>
  <si>
    <t>19022</t>
  </si>
  <si>
    <t>19693</t>
  </si>
  <si>
    <t>73686</t>
  </si>
  <si>
    <t>99624</t>
  </si>
  <si>
    <t>MEDIO ATRATO</t>
  </si>
  <si>
    <t>SIPÍ</t>
  </si>
  <si>
    <t>PUERTO ARICA</t>
  </si>
  <si>
    <t>EL ENCANTO</t>
  </si>
  <si>
    <t>SAN JOSÉ DEL PALMAR</t>
  </si>
  <si>
    <t>PUERTO ALEGRÍA</t>
  </si>
  <si>
    <t>MORICHAL</t>
  </si>
  <si>
    <t>MIRITÍ - PARANÁ</t>
  </si>
  <si>
    <t>EL CALVARIO</t>
  </si>
  <si>
    <t>SAN JUANITO</t>
  </si>
  <si>
    <t>PANA PANA</t>
  </si>
  <si>
    <t>CACAHUAL</t>
  </si>
  <si>
    <t>LA GUADALUPE</t>
  </si>
  <si>
    <t>JURADÓ</t>
  </si>
  <si>
    <t>PACOA</t>
  </si>
  <si>
    <t>FLORESTA</t>
  </si>
  <si>
    <t>TUTAZÁ</t>
  </si>
  <si>
    <t>SOCOTÁ</t>
  </si>
  <si>
    <t>BUSBANZÁ</t>
  </si>
  <si>
    <t>BETÉITIVA</t>
  </si>
  <si>
    <t>RONDÓN</t>
  </si>
  <si>
    <t>SORA</t>
  </si>
  <si>
    <t>TIBIRITA</t>
  </si>
  <si>
    <t>PAPUNAHUA</t>
  </si>
  <si>
    <t>JERUSALÉN</t>
  </si>
  <si>
    <t>PISBA</t>
  </si>
  <si>
    <t>LABRANZAGRANDE</t>
  </si>
  <si>
    <t>CHIVOR</t>
  </si>
  <si>
    <t>SUTATENZA</t>
  </si>
  <si>
    <t>SOMONDOCO</t>
  </si>
  <si>
    <t>CHINAVITA</t>
  </si>
  <si>
    <t>ALMEIDA</t>
  </si>
  <si>
    <t>CARACOLÍ</t>
  </si>
  <si>
    <t>CRAVO NORTE</t>
  </si>
  <si>
    <t>PUERTO RONDÓN</t>
  </si>
  <si>
    <t>CAMPOHERMOSO</t>
  </si>
  <si>
    <t>BERBEO</t>
  </si>
  <si>
    <t>SAN EDUARDO</t>
  </si>
  <si>
    <t>CHÁMEZA</t>
  </si>
  <si>
    <t>JORDÁN</t>
  </si>
  <si>
    <t>RONCESVALLES</t>
  </si>
  <si>
    <t>FALAN</t>
  </si>
  <si>
    <t>MURILLO</t>
  </si>
  <si>
    <t>JESÚS MARÍA</t>
  </si>
  <si>
    <t>TOPAIPÍ</t>
  </si>
  <si>
    <t>VILLAGÓMEZ</t>
  </si>
  <si>
    <t>PAIME</t>
  </si>
  <si>
    <t>BARRANCOMINAS</t>
  </si>
  <si>
    <t>LA PEÑA</t>
  </si>
  <si>
    <t>SURATÁ</t>
  </si>
  <si>
    <t>CHARTA</t>
  </si>
  <si>
    <t>GUTIÉRREZ</t>
  </si>
  <si>
    <t>SAN MATEO</t>
  </si>
  <si>
    <t>GÜICÁN DE LA SIERRA</t>
  </si>
  <si>
    <t>SIMACOTA</t>
  </si>
  <si>
    <t>PALMAS DEL SOCORRO</t>
  </si>
  <si>
    <t>PALMAR</t>
  </si>
  <si>
    <t>TÁMARA</t>
  </si>
  <si>
    <t>NUNCHÍA</t>
  </si>
  <si>
    <t>CHAGUANÍ</t>
  </si>
  <si>
    <t>LA SALINA</t>
  </si>
  <si>
    <t>GUAYABAL DE SÍQUIMA</t>
  </si>
  <si>
    <t>EL TABLÓN DE GÓMEZ</t>
  </si>
  <si>
    <t>OCAMONTE</t>
  </si>
  <si>
    <t>MEDINA</t>
  </si>
  <si>
    <t>ALMAGUER</t>
  </si>
  <si>
    <t>SAN SEBASTIÁN</t>
  </si>
  <si>
    <t>SANTA ISABEL</t>
  </si>
  <si>
    <t>SANTA ROSALÍA</t>
  </si>
  <si>
    <t>05</t>
  </si>
  <si>
    <t>Departamento</t>
  </si>
  <si>
    <t>Municipio</t>
  </si>
  <si>
    <t>Tipo: Municipio / Isla
/ Área no municipalizada</t>
  </si>
  <si>
    <t>Localización</t>
  </si>
  <si>
    <t xml:space="preserve">Código </t>
  </si>
  <si>
    <t>Nombre</t>
  </si>
  <si>
    <t>Longitud</t>
  </si>
  <si>
    <t>Latitud</t>
  </si>
  <si>
    <t>-75,581775</t>
  </si>
  <si>
    <t>6,246631</t>
  </si>
  <si>
    <t>-75,428739</t>
  </si>
  <si>
    <t>5,789315</t>
  </si>
  <si>
    <t>-76,064304</t>
  </si>
  <si>
    <t>6,632282</t>
  </si>
  <si>
    <t>-75,141346</t>
  </si>
  <si>
    <t>6,376061</t>
  </si>
  <si>
    <t>-75,702188</t>
  </si>
  <si>
    <t>6,038708</t>
  </si>
  <si>
    <t>-75,077501</t>
  </si>
  <si>
    <t>6,909655</t>
  </si>
  <si>
    <t>-75,878828</t>
  </si>
  <si>
    <t>5,657194</t>
  </si>
  <si>
    <t>-75,711389</t>
  </si>
  <si>
    <t>6,109719</t>
  </si>
  <si>
    <t>-75,335116</t>
  </si>
  <si>
    <t>6,885175</t>
  </si>
  <si>
    <t>-75,148355</t>
  </si>
  <si>
    <t>7,074703</t>
  </si>
  <si>
    <t>-75,826648</t>
  </si>
  <si>
    <t>6,556484</t>
  </si>
  <si>
    <t>-75,854442</t>
  </si>
  <si>
    <t>6,302641</t>
  </si>
  <si>
    <t>-76,625279</t>
  </si>
  <si>
    <t>7,882968</t>
  </si>
  <si>
    <t>-76,426708</t>
  </si>
  <si>
    <t>8,849317</t>
  </si>
  <si>
    <t>-75,14107</t>
  </si>
  <si>
    <t>5,731474</t>
  </si>
  <si>
    <t>-75,786647</t>
  </si>
  <si>
    <t>6,155667</t>
  </si>
  <si>
    <t>-75,331627</t>
  </si>
  <si>
    <t>6,439195</t>
  </si>
  <si>
    <t>-75,667779</t>
  </si>
  <si>
    <t>6,606319</t>
  </si>
  <si>
    <t>-75,555245</t>
  </si>
  <si>
    <t>6,333587</t>
  </si>
  <si>
    <t>-75,97679</t>
  </si>
  <si>
    <t>5,74615</t>
  </si>
  <si>
    <t>-75,984452</t>
  </si>
  <si>
    <t>6,115208</t>
  </si>
  <si>
    <t>-76,021509</t>
  </si>
  <si>
    <t>5,850273</t>
  </si>
  <si>
    <t>-75,55036</t>
  </si>
  <si>
    <t>7,112803</t>
  </si>
  <si>
    <t>-75,907</t>
  </si>
  <si>
    <t>6,720759</t>
  </si>
  <si>
    <t>-75,35205</t>
  </si>
  <si>
    <t>7,578366</t>
  </si>
  <si>
    <t>-75,98293</t>
  </si>
  <si>
    <t>6,405607</t>
  </si>
  <si>
    <t>-75,633673</t>
  </si>
  <si>
    <t>6,091077</t>
  </si>
  <si>
    <t>-75,298091</t>
  </si>
  <si>
    <t>6,979771</t>
  </si>
  <si>
    <t>-76,028228</t>
  </si>
  <si>
    <t>6,753859</t>
  </si>
  <si>
    <t>-74,757421</t>
  </si>
  <si>
    <t>6,409829</t>
  </si>
  <si>
    <t>-75,643868</t>
  </si>
  <si>
    <t>5,54853</t>
  </si>
  <si>
    <t>-76,652652</t>
  </si>
  <si>
    <t>7,755148</t>
  </si>
  <si>
    <t>-75,333901</t>
  </si>
  <si>
    <t>6,082885</t>
  </si>
  <si>
    <t>-75,283192</t>
  </si>
  <si>
    <t>6,725995</t>
  </si>
  <si>
    <t>-75,197996</t>
  </si>
  <si>
    <t>7,977278</t>
  </si>
  <si>
    <t>-76,681531</t>
  </si>
  <si>
    <t>7,666147</t>
  </si>
  <si>
    <t>-75,087047</t>
  </si>
  <si>
    <t>6,537829</t>
  </si>
  <si>
    <t>-75,185483</t>
  </si>
  <si>
    <t>6,058295</t>
  </si>
  <si>
    <t>-75,257587</t>
  </si>
  <si>
    <t>6,394348</t>
  </si>
  <si>
    <t>-75,908448</t>
  </si>
  <si>
    <t>6,045738</t>
  </si>
  <si>
    <t>-75,509384</t>
  </si>
  <si>
    <t>6,348557</t>
  </si>
  <si>
    <t>-76,261614</t>
  </si>
  <si>
    <t>6,998112</t>
  </si>
  <si>
    <t>-75,39263</t>
  </si>
  <si>
    <t>6,485603</t>
  </si>
  <si>
    <t>-75,766413</t>
  </si>
  <si>
    <t>6,325615</t>
  </si>
  <si>
    <t>-74,799097</t>
  </si>
  <si>
    <t>7,5975</t>
  </si>
  <si>
    <t>-75,517685</t>
  </si>
  <si>
    <t>6,566273</t>
  </si>
  <si>
    <t>-75,582192</t>
  </si>
  <si>
    <t>6,166695</t>
  </si>
  <si>
    <t>-75,675072</t>
  </si>
  <si>
    <t>5,928039</t>
  </si>
  <si>
    <t>-76,130765</t>
  </si>
  <si>
    <t>6,776066</t>
  </si>
  <si>
    <t>-75,952158</t>
  </si>
  <si>
    <t>6,680808</t>
  </si>
  <si>
    <t>-75,444238</t>
  </si>
  <si>
    <t>6,379472</t>
  </si>
  <si>
    <t>-75,220018</t>
  </si>
  <si>
    <t>6,683269</t>
  </si>
  <si>
    <t>-75,184446</t>
  </si>
  <si>
    <t>6,142892</t>
  </si>
  <si>
    <t>-75,239862</t>
  </si>
  <si>
    <t>6,815069</t>
  </si>
  <si>
    <t>-75,441612</t>
  </si>
  <si>
    <t>6,27787</t>
  </si>
  <si>
    <t>-75,160041</t>
  </si>
  <si>
    <t>6,232461</t>
  </si>
  <si>
    <t>-75,734322</t>
  </si>
  <si>
    <t>6,206757</t>
  </si>
  <si>
    <t>-75,906587</t>
  </si>
  <si>
    <t>5,799461</t>
  </si>
  <si>
    <t>-75,612056</t>
  </si>
  <si>
    <t>6,175079</t>
  </si>
  <si>
    <t>-75,764673</t>
  </si>
  <si>
    <t>7,171629</t>
  </si>
  <si>
    <t>-75,818982</t>
  </si>
  <si>
    <t>5,597542</t>
  </si>
  <si>
    <t>-75,785499</t>
  </si>
  <si>
    <t>5,789748</t>
  </si>
  <si>
    <t>-75,429433</t>
  </si>
  <si>
    <t>6,028062</t>
  </si>
  <si>
    <t>-75,637708</t>
  </si>
  <si>
    <t>6,145238</t>
  </si>
  <si>
    <t>-75,60781</t>
  </si>
  <si>
    <t>5,743808</t>
  </si>
  <si>
    <t>-75,360874</t>
  </si>
  <si>
    <t>5,973845</t>
  </si>
  <si>
    <t>-75,812838</t>
  </si>
  <si>
    <t>6,677316</t>
  </si>
  <si>
    <t>-74,78716</t>
  </si>
  <si>
    <t>6,552116</t>
  </si>
  <si>
    <t>-75,339345</t>
  </si>
  <si>
    <t>6,173995</t>
  </si>
  <si>
    <t>-75,523455</t>
  </si>
  <si>
    <t>5,946313</t>
  </si>
  <si>
    <t>-76,817485</t>
  </si>
  <si>
    <t>6,97771</t>
  </si>
  <si>
    <t>-76,435875</t>
  </si>
  <si>
    <t>7,242875</t>
  </si>
  <si>
    <t>-75,176262</t>
  </si>
  <si>
    <t>5,610777</t>
  </si>
  <si>
    <t>-76,787271</t>
  </si>
  <si>
    <t>8,434526</t>
  </si>
  <si>
    <t>-74,77647</t>
  </si>
  <si>
    <t>8,094129</t>
  </si>
  <si>
    <t>-75,811773</t>
  </si>
  <si>
    <t>6,626492</t>
  </si>
  <si>
    <t>-75,242693</t>
  </si>
  <si>
    <t>6,219349</t>
  </si>
  <si>
    <t>-75,910357</t>
  </si>
  <si>
    <t>7,021029</t>
  </si>
  <si>
    <t>-75,839903</t>
  </si>
  <si>
    <t>5,79158</t>
  </si>
  <si>
    <t>-74,410016</t>
  </si>
  <si>
    <t>6,487028</t>
  </si>
  <si>
    <t>-74,583012</t>
  </si>
  <si>
    <t>6,186025</t>
  </si>
  <si>
    <t>-74,64119</t>
  </si>
  <si>
    <t>5,871318</t>
  </si>
  <si>
    <t>-74,698135</t>
  </si>
  <si>
    <t>7,029424</t>
  </si>
  <si>
    <t>-75,501301</t>
  </si>
  <si>
    <t>6,062454</t>
  </si>
  <si>
    <t>-75,377316</t>
  </si>
  <si>
    <t>6,147148</t>
  </si>
  <si>
    <t>-75,816645</t>
  </si>
  <si>
    <t>6,850028</t>
  </si>
  <si>
    <t>-75,615479</t>
  </si>
  <si>
    <t>6,149903</t>
  </si>
  <si>
    <t>-75,976807</t>
  </si>
  <si>
    <t>5,964198</t>
  </si>
  <si>
    <t>-75,674564</t>
  </si>
  <si>
    <t>6,916676</t>
  </si>
  <si>
    <t>-74,988097</t>
  </si>
  <si>
    <t>6,187746</t>
  </si>
  <si>
    <t>-75,101562</t>
  </si>
  <si>
    <t>5,963476</t>
  </si>
  <si>
    <t>-75,726975</t>
  </si>
  <si>
    <t>6,44809</t>
  </si>
  <si>
    <t>-75,683352</t>
  </si>
  <si>
    <t>6,85009</t>
  </si>
  <si>
    <t>-76,52857</t>
  </si>
  <si>
    <t>8,758964</t>
  </si>
  <si>
    <t>-74,993619</t>
  </si>
  <si>
    <t>6,043017</t>
  </si>
  <si>
    <t>-75,556743</t>
  </si>
  <si>
    <t>6,46012</t>
  </si>
  <si>
    <t>-76,380567</t>
  </si>
  <si>
    <t>8,276884</t>
  </si>
  <si>
    <t>-75,02849</t>
  </si>
  <si>
    <t>6,293759</t>
  </si>
  <si>
    <t>-75,019109</t>
  </si>
  <si>
    <t>6,485939</t>
  </si>
  <si>
    <t>-75,332616</t>
  </si>
  <si>
    <t>6,282164</t>
  </si>
  <si>
    <t>-75,567351</t>
  </si>
  <si>
    <t>5,875527</t>
  </si>
  <si>
    <t>-75,460723</t>
  </si>
  <si>
    <t>6,643366</t>
  </si>
  <si>
    <t>-75,164903</t>
  </si>
  <si>
    <t>6,473032</t>
  </si>
  <si>
    <t>-75,265465</t>
  </si>
  <si>
    <t>6,136871</t>
  </si>
  <si>
    <t>-74,701596</t>
  </si>
  <si>
    <t>7,079648</t>
  </si>
  <si>
    <t>-75,309596</t>
  </si>
  <si>
    <t>5,714851</t>
  </si>
  <si>
    <t>-75,747378</t>
  </si>
  <si>
    <t>6,500745</t>
  </si>
  <si>
    <t>-75,714429</t>
  </si>
  <si>
    <t>5,664645</t>
  </si>
  <si>
    <t>-75,401407</t>
  </si>
  <si>
    <t>7,580127</t>
  </si>
  <si>
    <t>-75,822956</t>
  </si>
  <si>
    <t>5,864542</t>
  </si>
  <si>
    <t>-75,791887</t>
  </si>
  <si>
    <t>6,062391</t>
  </si>
  <si>
    <t>-75,692281</t>
  </si>
  <si>
    <t>7,010328</t>
  </si>
  <si>
    <t>-76,728858</t>
  </si>
  <si>
    <t>8,089929</t>
  </si>
  <si>
    <t>-76,173284</t>
  </si>
  <si>
    <t>6,898393</t>
  </si>
  <si>
    <t>-76,133951</t>
  </si>
  <si>
    <t>6,317343</t>
  </si>
  <si>
    <t>-75,439274</t>
  </si>
  <si>
    <t>7,1652</t>
  </si>
  <si>
    <t>-75,624452</t>
  </si>
  <si>
    <t>5,614555</t>
  </si>
  <si>
    <t>-74,798714</t>
  </si>
  <si>
    <t>6,773525</t>
  </si>
  <si>
    <t>-75,735544</t>
  </si>
  <si>
    <t>5,964693</t>
  </si>
  <si>
    <t>-76,896004</t>
  </si>
  <si>
    <t>6,588164</t>
  </si>
  <si>
    <t>-74,840059</t>
  </si>
  <si>
    <t>6,676554</t>
  </si>
  <si>
    <t>-75,418828</t>
  </si>
  <si>
    <t>6,963832</t>
  </si>
  <si>
    <t>-75,013385</t>
  </si>
  <si>
    <t>6,594511</t>
  </si>
  <si>
    <t>-73,912445</t>
  </si>
  <si>
    <t>7,00396</t>
  </si>
  <si>
    <t>-74,867075</t>
  </si>
  <si>
    <t>7,488583</t>
  </si>
  <si>
    <t>08</t>
  </si>
  <si>
    <t>-74,815546</t>
  </si>
  <si>
    <t>10,977961</t>
  </si>
  <si>
    <t>-74,916077</t>
  </si>
  <si>
    <t>10,79445</t>
  </si>
  <si>
    <t>-74,880847</t>
  </si>
  <si>
    <t>10,378291</t>
  </si>
  <si>
    <t>-74,879717</t>
  </si>
  <si>
    <t>10,461903</t>
  </si>
  <si>
    <t>-74,870385</t>
  </si>
  <si>
    <t>10,919033</t>
  </si>
  <si>
    <t>-75,041032</t>
  </si>
  <si>
    <t>10,83254</t>
  </si>
  <si>
    <t>-75,14199</t>
  </si>
  <si>
    <t>10,610491</t>
  </si>
  <si>
    <t>-74,776923</t>
  </si>
  <si>
    <t>10,857086</t>
  </si>
  <si>
    <t>-74,956867</t>
  </si>
  <si>
    <t>10,449089</t>
  </si>
  <si>
    <t>-74,754765</t>
  </si>
  <si>
    <t>10,738591</t>
  </si>
  <si>
    <t>-75,107592</t>
  </si>
  <si>
    <t>10,749216</t>
  </si>
  <si>
    <t>-74,852981</t>
  </si>
  <si>
    <t>10,777363</t>
  </si>
  <si>
    <t>-74,753885</t>
  </si>
  <si>
    <t>10,641779</t>
  </si>
  <si>
    <t>-74,888627</t>
  </si>
  <si>
    <t>11,015322</t>
  </si>
  <si>
    <t>-75,125534</t>
  </si>
  <si>
    <t>10,493357</t>
  </si>
  <si>
    <t>-74,759496</t>
  </si>
  <si>
    <t>10,792453</t>
  </si>
  <si>
    <t>-74,921256</t>
  </si>
  <si>
    <t>10,632091</t>
  </si>
  <si>
    <t>-74,959204</t>
  </si>
  <si>
    <t>10,324303</t>
  </si>
  <si>
    <t>-74,757859</t>
  </si>
  <si>
    <t>10,758735</t>
  </si>
  <si>
    <t>-74,786054</t>
  </si>
  <si>
    <t>10,909921</t>
  </si>
  <si>
    <t>-74,881687</t>
  </si>
  <si>
    <t>10,335432</t>
  </si>
  <si>
    <t>-74,978704</t>
  </si>
  <si>
    <t>10,873586</t>
  </si>
  <si>
    <t>-74,976985</t>
  </si>
  <si>
    <t>10,74298</t>
  </si>
  <si>
    <t>11</t>
  </si>
  <si>
    <t>-74,106992</t>
  </si>
  <si>
    <t>4,649251</t>
  </si>
  <si>
    <t>13</t>
  </si>
  <si>
    <t>-75,496269</t>
  </si>
  <si>
    <t>10,385126</t>
  </si>
  <si>
    <t>-74,557676</t>
  </si>
  <si>
    <t>8,570107</t>
  </si>
  <si>
    <t>-74,164905</t>
  </si>
  <si>
    <t>8,791865</t>
  </si>
  <si>
    <t>-73,941099</t>
  </si>
  <si>
    <t>8,458865</t>
  </si>
  <si>
    <t>-75,344332</t>
  </si>
  <si>
    <t>10,25666</t>
  </si>
  <si>
    <t>-75,019215</t>
  </si>
  <si>
    <t>10,250075</t>
  </si>
  <si>
    <t>-74,104391</t>
  </si>
  <si>
    <t>8,947787</t>
  </si>
  <si>
    <t>-74,916144</t>
  </si>
  <si>
    <t>10,250431</t>
  </si>
  <si>
    <t>-73,914605</t>
  </si>
  <si>
    <t>7,378678</t>
  </si>
  <si>
    <t>-74,645981</t>
  </si>
  <si>
    <t>9,274281</t>
  </si>
  <si>
    <t>-74,827399</t>
  </si>
  <si>
    <t>9,586942</t>
  </si>
  <si>
    <t>-75,328469</t>
  </si>
  <si>
    <t>10,567452</t>
  </si>
  <si>
    <t>-75,121178</t>
  </si>
  <si>
    <t>9,718653</t>
  </si>
  <si>
    <t>-74,976084</t>
  </si>
  <si>
    <t>10,030958</t>
  </si>
  <si>
    <t>-73,949274</t>
  </si>
  <si>
    <t>8,988271</t>
  </si>
  <si>
    <t>-74,077912</t>
  </si>
  <si>
    <t>8,956014</t>
  </si>
  <si>
    <t>-74,766742</t>
  </si>
  <si>
    <t>9,263799</t>
  </si>
  <si>
    <t>-75,191643</t>
  </si>
  <si>
    <t>10,233285</t>
  </si>
  <si>
    <t>-74,285137</t>
  </si>
  <si>
    <t>9,15784</t>
  </si>
  <si>
    <t>-75,300516</t>
  </si>
  <si>
    <t>9,982402</t>
  </si>
  <si>
    <t>-74,471176</t>
  </si>
  <si>
    <t>8,297234</t>
  </si>
  <si>
    <t>-74,42818</t>
  </si>
  <si>
    <t>9,244241</t>
  </si>
  <si>
    <t>-73,868172</t>
  </si>
  <si>
    <t>8,276558</t>
  </si>
  <si>
    <t>-74,038003</t>
  </si>
  <si>
    <t>8,526259</t>
  </si>
  <si>
    <t>-74,462279</t>
  </si>
  <si>
    <t>8,914947</t>
  </si>
  <si>
    <t>-73,821638</t>
  </si>
  <si>
    <t>8,666258</t>
  </si>
  <si>
    <t>-73,840466</t>
  </si>
  <si>
    <t>8,58795</t>
  </si>
  <si>
    <t>-75,065076</t>
  </si>
  <si>
    <t>10,392836</t>
  </si>
  <si>
    <t>-75,153101</t>
  </si>
  <si>
    <t>10,398602</t>
  </si>
  <si>
    <t>-74,323811</t>
  </si>
  <si>
    <t>9,214183</t>
  </si>
  <si>
    <t>-75,12105</t>
  </si>
  <si>
    <t>9,830275</t>
  </si>
  <si>
    <t>-74,721156</t>
  </si>
  <si>
    <t>8,25158</t>
  </si>
  <si>
    <t>-75,081761</t>
  </si>
  <si>
    <t>9,953751</t>
  </si>
  <si>
    <t>-74,039134</t>
  </si>
  <si>
    <t>8,937485</t>
  </si>
  <si>
    <t>-73,924602</t>
  </si>
  <si>
    <t>7,476747</t>
  </si>
  <si>
    <t>-75,287855</t>
  </si>
  <si>
    <t>10,605294</t>
  </si>
  <si>
    <t>-75,369824</t>
  </si>
  <si>
    <t>10,444396</t>
  </si>
  <si>
    <t>-74,052243</t>
  </si>
  <si>
    <t>7,963938</t>
  </si>
  <si>
    <t>-73,947264</t>
  </si>
  <si>
    <t>7,953916</t>
  </si>
  <si>
    <t>-75,136404</t>
  </si>
  <si>
    <t>10,38839</t>
  </si>
  <si>
    <t>-74,567479</t>
  </si>
  <si>
    <t>9,30403</t>
  </si>
  <si>
    <t>-74,262922</t>
  </si>
  <si>
    <t>8,558666</t>
  </si>
  <si>
    <t>-75,427249</t>
  </si>
  <si>
    <t>10,348316</t>
  </si>
  <si>
    <t>TURBANÁ</t>
  </si>
  <si>
    <t>-75,44265</t>
  </si>
  <si>
    <t>10,274585</t>
  </si>
  <si>
    <t>-75,275613</t>
  </si>
  <si>
    <t>10,444089</t>
  </si>
  <si>
    <t>-74,817879</t>
  </si>
  <si>
    <t>9,746306</t>
  </si>
  <si>
    <t>15</t>
  </si>
  <si>
    <t>-73,355539</t>
  </si>
  <si>
    <t>5,53988</t>
  </si>
  <si>
    <t>-73,378933</t>
  </si>
  <si>
    <t>4,970857</t>
  </si>
  <si>
    <t>-72,88399</t>
  </si>
  <si>
    <t>5,518602</t>
  </si>
  <si>
    <t>-73,437503</t>
  </si>
  <si>
    <t>5,755673</t>
  </si>
  <si>
    <t>-72,911641</t>
  </si>
  <si>
    <t>5,98923</t>
  </si>
  <si>
    <t>-73,12721</t>
  </si>
  <si>
    <t>5,227451</t>
  </si>
  <si>
    <t>-72,809014</t>
  </si>
  <si>
    <t>5,909978</t>
  </si>
  <si>
    <t>-72,584905</t>
  </si>
  <si>
    <t>6,330703</t>
  </si>
  <si>
    <t>-73,361945</t>
  </si>
  <si>
    <t>5,454578</t>
  </si>
  <si>
    <t>-73,92326</t>
  </si>
  <si>
    <t>5,690879</t>
  </si>
  <si>
    <t>-73,94217</t>
  </si>
  <si>
    <t>5,512594</t>
  </si>
  <si>
    <t>-72,884158</t>
  </si>
  <si>
    <t>5,831393</t>
  </si>
  <si>
    <t>-73,865553</t>
  </si>
  <si>
    <t>5,55458</t>
  </si>
  <si>
    <t>-73,104173</t>
  </si>
  <si>
    <t>5,031676</t>
  </si>
  <si>
    <t>-72,947918</t>
  </si>
  <si>
    <t>5,955939</t>
  </si>
  <si>
    <t>-73,368476</t>
  </si>
  <si>
    <t>5,167486</t>
  </si>
  <si>
    <t>-73,818745</t>
  </si>
  <si>
    <t>5,61379</t>
  </si>
  <si>
    <t>-72,500957</t>
  </si>
  <si>
    <t>6,553136</t>
  </si>
  <si>
    <t>-72,471892</t>
  </si>
  <si>
    <t>6,187083</t>
  </si>
  <si>
    <t>-73,4471</t>
  </si>
  <si>
    <t>6,027425</t>
  </si>
  <si>
    <t>-73,282529</t>
  </si>
  <si>
    <t>5,558949</t>
  </si>
  <si>
    <t>-73,296049</t>
  </si>
  <si>
    <t>5,408694</t>
  </si>
  <si>
    <t>-73,323957</t>
  </si>
  <si>
    <t>5,634545</t>
  </si>
  <si>
    <t>-74,045636</t>
  </si>
  <si>
    <t>5,475074</t>
  </si>
  <si>
    <t>-72,844795</t>
  </si>
  <si>
    <t>5,828064</t>
  </si>
  <si>
    <t>-72,738978</t>
  </si>
  <si>
    <t>6,500177</t>
  </si>
  <si>
    <t>-72,107939</t>
  </si>
  <si>
    <t>6,997275</t>
  </si>
  <si>
    <t>-73,454338</t>
  </si>
  <si>
    <t>5,544452</t>
  </si>
  <si>
    <t>-72,965923</t>
  </si>
  <si>
    <t>5,580367</t>
  </si>
  <si>
    <t>-73,449463</t>
  </si>
  <si>
    <t>5,639834</t>
  </si>
  <si>
    <t>-73,368398</t>
  </si>
  <si>
    <t>4,888173</t>
  </si>
  <si>
    <t>-73,03063</t>
  </si>
  <si>
    <t>5,822964</t>
  </si>
  <si>
    <t>-72,444537</t>
  </si>
  <si>
    <t>6,407738</t>
  </si>
  <si>
    <t>-72,497007</t>
  </si>
  <si>
    <t>6,483027</t>
  </si>
  <si>
    <t>-72,993392</t>
  </si>
  <si>
    <t>5,668885</t>
  </si>
  <si>
    <t>-72,918111</t>
  </si>
  <si>
    <t>5,859519</t>
  </si>
  <si>
    <t>-73,549092</t>
  </si>
  <si>
    <t>5,751891</t>
  </si>
  <si>
    <t>-72,80553</t>
  </si>
  <si>
    <t>5,802333</t>
  </si>
  <si>
    <t>-73,364413</t>
  </si>
  <si>
    <t>5,083234</t>
  </si>
  <si>
    <t>-72,500812</t>
  </si>
  <si>
    <t>6,459667</t>
  </si>
  <si>
    <t>-73,471207</t>
  </si>
  <si>
    <t>5,007321</t>
  </si>
  <si>
    <t>-73,489698</t>
  </si>
  <si>
    <t>4,967122</t>
  </si>
  <si>
    <t>-72,411763</t>
  </si>
  <si>
    <t>6,462864</t>
  </si>
  <si>
    <t>-72,979559</t>
  </si>
  <si>
    <t>5,611577</t>
  </si>
  <si>
    <t>-73,363738</t>
  </si>
  <si>
    <t>5,385813</t>
  </si>
  <si>
    <t>-72,571122</t>
  </si>
  <si>
    <t>6,145735</t>
  </si>
  <si>
    <t>-72,57777</t>
  </si>
  <si>
    <t>5,562687</t>
  </si>
  <si>
    <t>-73,444347</t>
  </si>
  <si>
    <t>5,095687</t>
  </si>
  <si>
    <t>-74,234393</t>
  </si>
  <si>
    <t>5,523792</t>
  </si>
  <si>
    <t>-72,559982</t>
  </si>
  <si>
    <t>6,31616</t>
  </si>
  <si>
    <t>-73,524948</t>
  </si>
  <si>
    <t>5,632455</t>
  </si>
  <si>
    <t>-73,319593</t>
  </si>
  <si>
    <t>4,972464</t>
  </si>
  <si>
    <t>-74,00405</t>
  </si>
  <si>
    <t>5,550091</t>
  </si>
  <si>
    <t>-73,14563</t>
  </si>
  <si>
    <t>5,196515</t>
  </si>
  <si>
    <t>-72,79809</t>
  </si>
  <si>
    <t>5,754242</t>
  </si>
  <si>
    <t>-72,849292</t>
  </si>
  <si>
    <t>5,723486</t>
  </si>
  <si>
    <t>-73,573374</t>
  </si>
  <si>
    <t>5,876331</t>
  </si>
  <si>
    <t>-73,367841</t>
  </si>
  <si>
    <t>5,5777</t>
  </si>
  <si>
    <t>-74,10269</t>
  </si>
  <si>
    <t>5,532758</t>
  </si>
  <si>
    <t>-72,937042</t>
  </si>
  <si>
    <t>5,768046</t>
  </si>
  <si>
    <t>-73,456759</t>
  </si>
  <si>
    <t>5,355317</t>
  </si>
  <si>
    <t>-73,308399</t>
  </si>
  <si>
    <t>5,595235</t>
  </si>
  <si>
    <t>-74,180965</t>
  </si>
  <si>
    <t>5,657536</t>
  </si>
  <si>
    <t>-73,396953</t>
  </si>
  <si>
    <t>5,140065</t>
  </si>
  <si>
    <t>-73,052737</t>
  </si>
  <si>
    <t>5,097319</t>
  </si>
  <si>
    <t>-73,11782</t>
  </si>
  <si>
    <t>5,779894</t>
  </si>
  <si>
    <t>-72,703231</t>
  </si>
  <si>
    <t>5,293783</t>
  </si>
  <si>
    <t>-72,459424</t>
  </si>
  <si>
    <t>6,443416</t>
  </si>
  <si>
    <t>-73,978449</t>
  </si>
  <si>
    <t>5,656323</t>
  </si>
  <si>
    <t>-72,423775</t>
  </si>
  <si>
    <t>5,625699</t>
  </si>
  <si>
    <t>-72,749137</t>
  </si>
  <si>
    <t>5,987645</t>
  </si>
  <si>
    <t>-73,050872</t>
  </si>
  <si>
    <t>5,558808</t>
  </si>
  <si>
    <t>-72,486023</t>
  </si>
  <si>
    <t>5,72141</t>
  </si>
  <si>
    <t>-74,587782</t>
  </si>
  <si>
    <t>5,976646</t>
  </si>
  <si>
    <t>-74,180033</t>
  </si>
  <si>
    <t>5,52055</t>
  </si>
  <si>
    <t>-73,334839</t>
  </si>
  <si>
    <t>5,400303</t>
  </si>
  <si>
    <t>-73,632543</t>
  </si>
  <si>
    <t>5,539136</t>
  </si>
  <si>
    <t>-73,208474</t>
  </si>
  <si>
    <t>5,357378</t>
  </si>
  <si>
    <t>-73,764456</t>
  </si>
  <si>
    <t>5,697756</t>
  </si>
  <si>
    <t>-73,542539</t>
  </si>
  <si>
    <t>5,584305</t>
  </si>
  <si>
    <t>-73,485589</t>
  </si>
  <si>
    <t>5,492161</t>
  </si>
  <si>
    <t>-73,077747</t>
  </si>
  <si>
    <t>5,22401</t>
  </si>
  <si>
    <t>-73,545397</t>
  </si>
  <si>
    <t>6,018924</t>
  </si>
  <si>
    <t>-73,168076</t>
  </si>
  <si>
    <t>4,81976</t>
  </si>
  <si>
    <t>-72,555264</t>
  </si>
  <si>
    <t>6,401683</t>
  </si>
  <si>
    <t>-73,722009</t>
  </si>
  <si>
    <t>5,518083</t>
  </si>
  <si>
    <t>-74,069963</t>
  </si>
  <si>
    <t>5,650743</t>
  </si>
  <si>
    <t>-73,481639</t>
  </si>
  <si>
    <t>6,056866</t>
  </si>
  <si>
    <t>-73,263518</t>
  </si>
  <si>
    <t>4,857193</t>
  </si>
  <si>
    <t>-72,982461</t>
  </si>
  <si>
    <t>5,874547</t>
  </si>
  <si>
    <t>-73,602707</t>
  </si>
  <si>
    <t>5,713269</t>
  </si>
  <si>
    <t>-72,708458</t>
  </si>
  <si>
    <t>6,131132</t>
  </si>
  <si>
    <t>-72,712435</t>
  </si>
  <si>
    <t>6,093183</t>
  </si>
  <si>
    <t>-73,24466</t>
  </si>
  <si>
    <t>5,511811</t>
  </si>
  <si>
    <t>-72,684051</t>
  </si>
  <si>
    <t>6,331945</t>
  </si>
  <si>
    <t>-72,636653</t>
  </si>
  <si>
    <t>6,041162</t>
  </si>
  <si>
    <t>-72,691963</t>
  </si>
  <si>
    <t>5,996717</t>
  </si>
  <si>
    <t>-72,924355</t>
  </si>
  <si>
    <t>5,723976</t>
  </si>
  <si>
    <t>-73,433393</t>
  </si>
  <si>
    <t>4,985726</t>
  </si>
  <si>
    <t>-73,450153</t>
  </si>
  <si>
    <t>5,56684</t>
  </si>
  <si>
    <t>-73,246585</t>
  </si>
  <si>
    <t>5,764986</t>
  </si>
  <si>
    <t>-73,332804</t>
  </si>
  <si>
    <t>5,500898</t>
  </si>
  <si>
    <t>-72,690289</t>
  </si>
  <si>
    <t>6,230332</t>
  </si>
  <si>
    <t>-73,620536</t>
  </si>
  <si>
    <t>5,619781</t>
  </si>
  <si>
    <t>-73,452317</t>
  </si>
  <si>
    <t>5,022989</t>
  </si>
  <si>
    <t>-72,781011</t>
  </si>
  <si>
    <t>5,909821</t>
  </si>
  <si>
    <t>-73,421176</t>
  </si>
  <si>
    <t>5,076781</t>
  </si>
  <si>
    <t>-73,396457</t>
  </si>
  <si>
    <t>5,317251</t>
  </si>
  <si>
    <t>-72,999449</t>
  </si>
  <si>
    <t>5,74723</t>
  </si>
  <si>
    <t>-73,646847</t>
  </si>
  <si>
    <t>5,579713</t>
  </si>
  <si>
    <t>-72,691729</t>
  </si>
  <si>
    <t>6,419203</t>
  </si>
  <si>
    <t>-73,184794</t>
  </si>
  <si>
    <t>5,566464</t>
  </si>
  <si>
    <t>-73,513655</t>
  </si>
  <si>
    <t>5,937438</t>
  </si>
  <si>
    <t>-72,832245</t>
  </si>
  <si>
    <t>5,768201</t>
  </si>
  <si>
    <t>-72,985898</t>
  </si>
  <si>
    <t>5,560497</t>
  </si>
  <si>
    <t>-73,933155</t>
  </si>
  <si>
    <t>5,730582</t>
  </si>
  <si>
    <t>-73,491825</t>
  </si>
  <si>
    <t>5,323261</t>
  </si>
  <si>
    <t>-73,230285</t>
  </si>
  <si>
    <t>5,689082</t>
  </si>
  <si>
    <t>-72,856035</t>
  </si>
  <si>
    <t>6,032608</t>
  </si>
  <si>
    <t>-73,456917</t>
  </si>
  <si>
    <t>5,221176</t>
  </si>
  <si>
    <t>-73,522368</t>
  </si>
  <si>
    <t>5,368739</t>
  </si>
  <si>
    <t>-73,296894</t>
  </si>
  <si>
    <t>5,436833</t>
  </si>
  <si>
    <t>-73,17098</t>
  </si>
  <si>
    <t>5,283443</t>
  </si>
  <si>
    <t>17</t>
  </si>
  <si>
    <t>-75,491025</t>
  </si>
  <si>
    <t>5,057657</t>
  </si>
  <si>
    <t>-75,45487</t>
  </si>
  <si>
    <t>5,610244</t>
  </si>
  <si>
    <t>-75,784343</t>
  </si>
  <si>
    <t>5,236471</t>
  </si>
  <si>
    <t>-75,49129</t>
  </si>
  <si>
    <t>5,271195</t>
  </si>
  <si>
    <t>-75,811918</t>
  </si>
  <si>
    <t>4,993785</t>
  </si>
  <si>
    <t>-75,607529</t>
  </si>
  <si>
    <t>4,985227</t>
  </si>
  <si>
    <t>-75,562474</t>
  </si>
  <si>
    <t>5,297091</t>
  </si>
  <si>
    <t>-74,668819</t>
  </si>
  <si>
    <t>5,460834</t>
  </si>
  <si>
    <t>-75,546486</t>
  </si>
  <si>
    <t>5,39647</t>
  </si>
  <si>
    <t>-75,152829</t>
  </si>
  <si>
    <t>5,255699</t>
  </si>
  <si>
    <t>-75,600049</t>
  </si>
  <si>
    <t>5,47422</t>
  </si>
  <si>
    <t>-75,053097</t>
  </si>
  <si>
    <t>5,297525</t>
  </si>
  <si>
    <t>-75,259721</t>
  </si>
  <si>
    <t>5,284304</t>
  </si>
  <si>
    <t>-75,520006</t>
  </si>
  <si>
    <t>5,166895</t>
  </si>
  <si>
    <t>-74,889543</t>
  </si>
  <si>
    <t>5,574796</t>
  </si>
  <si>
    <t>-75,459621</t>
  </si>
  <si>
    <t>5,527172</t>
  </si>
  <si>
    <t>-75,624577</t>
  </si>
  <si>
    <t>5,017879</t>
  </si>
  <si>
    <t>-75,160299</t>
  </si>
  <si>
    <t>5,383281</t>
  </si>
  <si>
    <t>-75,702104</t>
  </si>
  <si>
    <t>5,423673</t>
  </si>
  <si>
    <t>-75,76722</t>
  </si>
  <si>
    <t>5,164509</t>
  </si>
  <si>
    <t>-75,487223</t>
  </si>
  <si>
    <t>5,403025</t>
  </si>
  <si>
    <t>-74,992263</t>
  </si>
  <si>
    <t>5,41308</t>
  </si>
  <si>
    <t>-75,792063</t>
  </si>
  <si>
    <t>5,08231</t>
  </si>
  <si>
    <t>-75,64966</t>
  </si>
  <si>
    <t>5,446843</t>
  </si>
  <si>
    <t>-74,911239</t>
  </si>
  <si>
    <t>5,317437</t>
  </si>
  <si>
    <t>-75,502487</t>
  </si>
  <si>
    <t>5,038925</t>
  </si>
  <si>
    <t>-75,87061</t>
  </si>
  <si>
    <t>5,062664</t>
  </si>
  <si>
    <t>18</t>
  </si>
  <si>
    <t>-75,609831</t>
  </si>
  <si>
    <t>1,618196</t>
  </si>
  <si>
    <t>-75,878375</t>
  </si>
  <si>
    <t>1,328526</t>
  </si>
  <si>
    <t>-75,872405</t>
  </si>
  <si>
    <t>1,415812</t>
  </si>
  <si>
    <t>-74,847867</t>
  </si>
  <si>
    <t>1,332371</t>
  </si>
  <si>
    <t>-75,919205</t>
  </si>
  <si>
    <t>1,033473</t>
  </si>
  <si>
    <t>-75,283631</t>
  </si>
  <si>
    <t>1,679951</t>
  </si>
  <si>
    <t>-75,326093</t>
  </si>
  <si>
    <t>1,570226</t>
  </si>
  <si>
    <t>-75,436408</t>
  </si>
  <si>
    <t>1,479173</t>
  </si>
  <si>
    <t>-75,506926</t>
  </si>
  <si>
    <t>1,29021</t>
  </si>
  <si>
    <t>-75,724146</t>
  </si>
  <si>
    <t>1,486611</t>
  </si>
  <si>
    <t>-75,157604</t>
  </si>
  <si>
    <t>1,909063</t>
  </si>
  <si>
    <t>-75,973796</t>
  </si>
  <si>
    <t>1,330266</t>
  </si>
  <si>
    <t>-74,767894</t>
  </si>
  <si>
    <t>2,119413</t>
  </si>
  <si>
    <t>-75,253702</t>
  </si>
  <si>
    <t>0,699077</t>
  </si>
  <si>
    <t>-75,619902</t>
  </si>
  <si>
    <t>0,87654</t>
  </si>
  <si>
    <t>-75,70671</t>
  </si>
  <si>
    <t>1,194619</t>
  </si>
  <si>
    <t>19</t>
  </si>
  <si>
    <t>-76,599377</t>
  </si>
  <si>
    <t>2,459641</t>
  </si>
  <si>
    <t>-76,85607</t>
  </si>
  <si>
    <t>1,913429</t>
  </si>
  <si>
    <t>-77,24905</t>
  </si>
  <si>
    <t>2,257427</t>
  </si>
  <si>
    <t>-77,215773</t>
  </si>
  <si>
    <t>2,040998</t>
  </si>
  <si>
    <t>-76,966215</t>
  </si>
  <si>
    <t>1,837538</t>
  </si>
  <si>
    <t>-76,642238</t>
  </si>
  <si>
    <t>3,015382</t>
  </si>
  <si>
    <t>-76,570682</t>
  </si>
  <si>
    <t>2,623371</t>
  </si>
  <si>
    <t>-76,484319</t>
  </si>
  <si>
    <t>2,798059</t>
  </si>
  <si>
    <t>-76,408941</t>
  </si>
  <si>
    <t>3,034531</t>
  </si>
  <si>
    <t>-76,261866</t>
  </si>
  <si>
    <t>3,173854</t>
  </si>
  <si>
    <t>-76,810911</t>
  </si>
  <si>
    <t>2,451409</t>
  </si>
  <si>
    <t>-77,072547</t>
  </si>
  <si>
    <t>1,682535</t>
  </si>
  <si>
    <t>-76,392189</t>
  </si>
  <si>
    <t>3,134153</t>
  </si>
  <si>
    <t>-77,88797</t>
  </si>
  <si>
    <t>2,571337</t>
  </si>
  <si>
    <t>-76,063503</t>
  </si>
  <si>
    <t>2,549183</t>
  </si>
  <si>
    <t>-76,323877</t>
  </si>
  <si>
    <t>2,777834</t>
  </si>
  <si>
    <t>-76,763278</t>
  </si>
  <si>
    <t>2,179383</t>
  </si>
  <si>
    <t>-76,778771</t>
  </si>
  <si>
    <t>2,001803</t>
  </si>
  <si>
    <t>-77,247803</t>
  </si>
  <si>
    <t>2,846788</t>
  </si>
  <si>
    <t>-77,164319</t>
  </si>
  <si>
    <t>1,789193</t>
  </si>
  <si>
    <t>-76,228722</t>
  </si>
  <si>
    <t>3,254651</t>
  </si>
  <si>
    <t>-76,629106</t>
  </si>
  <si>
    <t>2,754684</t>
  </si>
  <si>
    <t>-76,313265</t>
  </si>
  <si>
    <t>3,220984</t>
  </si>
  <si>
    <t>-75,970685</t>
  </si>
  <si>
    <t>2,645724</t>
  </si>
  <si>
    <t>-76,981075</t>
  </si>
  <si>
    <t>2,115875</t>
  </si>
  <si>
    <t>-76,327588</t>
  </si>
  <si>
    <t>1,11754</t>
  </si>
  <si>
    <t>-76,528615</t>
  </si>
  <si>
    <t>2,64228</t>
  </si>
  <si>
    <t>-76,417673</t>
  </si>
  <si>
    <t>3,233254</t>
  </si>
  <si>
    <t>-76,496698</t>
  </si>
  <si>
    <t>2,341507</t>
  </si>
  <si>
    <t>-76,740336</t>
  </si>
  <si>
    <t>2,260941</t>
  </si>
  <si>
    <t>-76,769467</t>
  </si>
  <si>
    <t>1,838451</t>
  </si>
  <si>
    <t>-76,485141</t>
  </si>
  <si>
    <t>3,015008</t>
  </si>
  <si>
    <t>-76,573252</t>
  </si>
  <si>
    <t>1,700916</t>
  </si>
  <si>
    <t>-76,379753</t>
  </si>
  <si>
    <t>2,611927</t>
  </si>
  <si>
    <t>SOTARÁ - PAISPAMBA</t>
  </si>
  <si>
    <t>-76,613365</t>
  </si>
  <si>
    <t>2,253156</t>
  </si>
  <si>
    <t>-76,69357</t>
  </si>
  <si>
    <t>2,959785</t>
  </si>
  <si>
    <t>-76,926279</t>
  </si>
  <si>
    <t>2,038237</t>
  </si>
  <si>
    <t>-76,684476</t>
  </si>
  <si>
    <t>2,349686</t>
  </si>
  <si>
    <t>-77,667541</t>
  </si>
  <si>
    <t>2,777312</t>
  </si>
  <si>
    <t>-76,270284</t>
  </si>
  <si>
    <t>2,953017</t>
  </si>
  <si>
    <t>-76,403628</t>
  </si>
  <si>
    <t>2,510252</t>
  </si>
  <si>
    <t>-76,458025</t>
  </si>
  <si>
    <t>3,17762</t>
  </si>
  <si>
    <t>20</t>
  </si>
  <si>
    <t>-73,259398</t>
  </si>
  <si>
    <t>10,460472</t>
  </si>
  <si>
    <t>-73,614027</t>
  </si>
  <si>
    <t>8,306811</t>
  </si>
  <si>
    <t>-73,238389</t>
  </si>
  <si>
    <t>10,040454</t>
  </si>
  <si>
    <t>-73,975842</t>
  </si>
  <si>
    <t>9,498062</t>
  </si>
  <si>
    <t>-73,278707</t>
  </si>
  <si>
    <t>9,704404</t>
  </si>
  <si>
    <t>-73,888761</t>
  </si>
  <si>
    <t>9,975098</t>
  </si>
  <si>
    <t>-73,813278</t>
  </si>
  <si>
    <t>9,25875</t>
  </si>
  <si>
    <t>-73,599913</t>
  </si>
  <si>
    <t>9,361058</t>
  </si>
  <si>
    <t>-73,540843</t>
  </si>
  <si>
    <t>9,201716</t>
  </si>
  <si>
    <t>-73,962703</t>
  </si>
  <si>
    <t>10,149883</t>
  </si>
  <si>
    <t>-73,742012</t>
  </si>
  <si>
    <t>9,668461</t>
  </si>
  <si>
    <t>-73,737558</t>
  </si>
  <si>
    <t>8,324793</t>
  </si>
  <si>
    <t>-73,38004</t>
  </si>
  <si>
    <t>8,389604</t>
  </si>
  <si>
    <t>-73,80321</t>
  </si>
  <si>
    <t>8,619298</t>
  </si>
  <si>
    <t>-73,334143</t>
  </si>
  <si>
    <t>9,563752</t>
  </si>
  <si>
    <t>-73,029472</t>
  </si>
  <si>
    <t>10,390776</t>
  </si>
  <si>
    <t>-73,625825</t>
  </si>
  <si>
    <t>8,959399</t>
  </si>
  <si>
    <t>-73,666735</t>
  </si>
  <si>
    <t>8,689451</t>
  </si>
  <si>
    <t>-73,586211</t>
  </si>
  <si>
    <t>10,417321</t>
  </si>
  <si>
    <t>-73,386393</t>
  </si>
  <si>
    <t>8,292292</t>
  </si>
  <si>
    <t>-73,171365</t>
  </si>
  <si>
    <t>10,387552</t>
  </si>
  <si>
    <t>-73,393889</t>
  </si>
  <si>
    <t>7,76111</t>
  </si>
  <si>
    <t>-73,181208</t>
  </si>
  <si>
    <t>10,333039</t>
  </si>
  <si>
    <t>-73,510914</t>
  </si>
  <si>
    <t>7,999855</t>
  </si>
  <si>
    <t>-73,812172</t>
  </si>
  <si>
    <t>8,861725</t>
  </si>
  <si>
    <t>23</t>
  </si>
  <si>
    <t>-75,873096</t>
  </si>
  <si>
    <t>8,759789</t>
  </si>
  <si>
    <t>-75,146048</t>
  </si>
  <si>
    <t>8,313838</t>
  </si>
  <si>
    <t>-75,480897</t>
  </si>
  <si>
    <t>8,221187</t>
  </si>
  <si>
    <t>-76,241476</t>
  </si>
  <si>
    <t>8,786939</t>
  </si>
  <si>
    <t>-75,796093</t>
  </si>
  <si>
    <t>8,888532</t>
  </si>
  <si>
    <t>-75,626886</t>
  </si>
  <si>
    <t>9,149698</t>
  </si>
  <si>
    <t>-75,399633</t>
  </si>
  <si>
    <t>9,105473</t>
  </si>
  <si>
    <t>-75,620807</t>
  </si>
  <si>
    <t>8,875794</t>
  </si>
  <si>
    <t>-75,799216</t>
  </si>
  <si>
    <t>9,037163</t>
  </si>
  <si>
    <t>-75,336031</t>
  </si>
  <si>
    <t>8,050125</t>
  </si>
  <si>
    <t>-75,816084</t>
  </si>
  <si>
    <t>9,240789</t>
  </si>
  <si>
    <t>-76,35518</t>
  </si>
  <si>
    <t>8,892098</t>
  </si>
  <si>
    <t>-75,67796</t>
  </si>
  <si>
    <t>9,240707</t>
  </si>
  <si>
    <t>-75,416818</t>
  </si>
  <si>
    <t>7,973777</t>
  </si>
  <si>
    <t>-76,1291</t>
  </si>
  <si>
    <t>9,245223</t>
  </si>
  <si>
    <t>-75,583241</t>
  </si>
  <si>
    <t>8,4082</t>
  </si>
  <si>
    <t>-75,508035</t>
  </si>
  <si>
    <t>8,504099</t>
  </si>
  <si>
    <t>-76,260411</t>
  </si>
  <si>
    <t>9,005372</t>
  </si>
  <si>
    <t>-75,671761</t>
  </si>
  <si>
    <t>7,888859</t>
  </si>
  <si>
    <t>-75,724987</t>
  </si>
  <si>
    <t>9,239295</t>
  </si>
  <si>
    <t>-75,445834</t>
  </si>
  <si>
    <t>8,943048</t>
  </si>
  <si>
    <t>-75,50879</t>
  </si>
  <si>
    <t>9,145448</t>
  </si>
  <si>
    <t>-75,76112</t>
  </si>
  <si>
    <t>9,376434</t>
  </si>
  <si>
    <t>-75,955107</t>
  </si>
  <si>
    <t>9,35247</t>
  </si>
  <si>
    <t>-75,698799</t>
  </si>
  <si>
    <t>8,799282</t>
  </si>
  <si>
    <t>-75,533476</t>
  </si>
  <si>
    <t>7,787303</t>
  </si>
  <si>
    <t>-75,835615</t>
  </si>
  <si>
    <t>8,958436</t>
  </si>
  <si>
    <t>-76,059797</t>
  </si>
  <si>
    <t>8,170612</t>
  </si>
  <si>
    <t>-75,553962</t>
  </si>
  <si>
    <t>9,186625</t>
  </si>
  <si>
    <t>-76,150756</t>
  </si>
  <si>
    <t>8,255016</t>
  </si>
  <si>
    <t>25</t>
  </si>
  <si>
    <t>-74,669221</t>
  </si>
  <si>
    <t>4,375309</t>
  </si>
  <si>
    <t>-74,438261</t>
  </si>
  <si>
    <t>4,878022</t>
  </si>
  <si>
    <t>-74,528676</t>
  </si>
  <si>
    <t>4,562737</t>
  </si>
  <si>
    <t>-74,46384</t>
  </si>
  <si>
    <t>4,7617</t>
  </si>
  <si>
    <t>-74,414901</t>
  </si>
  <si>
    <t>4,272534</t>
  </si>
  <si>
    <t>-74,741666</t>
  </si>
  <si>
    <t>4,802832</t>
  </si>
  <si>
    <t>-74,539609</t>
  </si>
  <si>
    <t>4,872171</t>
  </si>
  <si>
    <t>-74,344594</t>
  </si>
  <si>
    <t>4,737205</t>
  </si>
  <si>
    <t>-74,484549</t>
  </si>
  <si>
    <t>3,985164</t>
  </si>
  <si>
    <t>-74,435711</t>
  </si>
  <si>
    <t>4,730957</t>
  </si>
  <si>
    <t>-74,02298</t>
  </si>
  <si>
    <t>4,920009</t>
  </si>
  <si>
    <t>-74,491045</t>
  </si>
  <si>
    <t>5,34758</t>
  </si>
  <si>
    <t>-73,946473</t>
  </si>
  <si>
    <t>4,404112</t>
  </si>
  <si>
    <t>-73,901357</t>
  </si>
  <si>
    <t>5,349119</t>
  </si>
  <si>
    <t>-74,593455</t>
  </si>
  <si>
    <t>4,948916</t>
  </si>
  <si>
    <t>-74,05</t>
  </si>
  <si>
    <t>4,866508</t>
  </si>
  <si>
    <t>-74,044876</t>
  </si>
  <si>
    <t>4,442671</t>
  </si>
  <si>
    <t>-73,922894</t>
  </si>
  <si>
    <t>4,527048</t>
  </si>
  <si>
    <t>-73,683533</t>
  </si>
  <si>
    <t>5,145224</t>
  </si>
  <si>
    <t>-73,978497</t>
  </si>
  <si>
    <t>5,061842</t>
  </si>
  <si>
    <t>-74,102569</t>
  </si>
  <si>
    <t>4,812564</t>
  </si>
  <si>
    <t>-73,766113</t>
  </si>
  <si>
    <t>5,249795</t>
  </si>
  <si>
    <t>-74,442261</t>
  </si>
  <si>
    <t>4,577951</t>
  </si>
  <si>
    <t>-74,290207</t>
  </si>
  <si>
    <t>5,248747</t>
  </si>
  <si>
    <t>-74,263103</t>
  </si>
  <si>
    <t>4,850589</t>
  </si>
  <si>
    <t>-74,350085</t>
  </si>
  <si>
    <t>4,813353</t>
  </si>
  <si>
    <t>-73,892523</t>
  </si>
  <si>
    <t>4,485474</t>
  </si>
  <si>
    <t>-73,93902</t>
  </si>
  <si>
    <t>4,339093</t>
  </si>
  <si>
    <t>-74,201528</t>
  </si>
  <si>
    <t>4,710412</t>
  </si>
  <si>
    <t>-73,795855</t>
  </si>
  <si>
    <t>5,403997</t>
  </si>
  <si>
    <t>-74,37543</t>
  </si>
  <si>
    <t>4,336723</t>
  </si>
  <si>
    <t>-73,520161</t>
  </si>
  <si>
    <t>4,693579</t>
  </si>
  <si>
    <t>-73,873464</t>
  </si>
  <si>
    <t>4,990947</t>
  </si>
  <si>
    <t>-73,636377</t>
  </si>
  <si>
    <t>4,816411</t>
  </si>
  <si>
    <t>-73,611037</t>
  </si>
  <si>
    <t>4,763325</t>
  </si>
  <si>
    <t>-74,798201</t>
  </si>
  <si>
    <t>4,313069</t>
  </si>
  <si>
    <t>-74,350766</t>
  </si>
  <si>
    <t>4,519763</t>
  </si>
  <si>
    <t>-73,686972</t>
  </si>
  <si>
    <t>5,383378</t>
  </si>
  <si>
    <t>-74,603402</t>
  </si>
  <si>
    <t>5,072076</t>
  </si>
  <si>
    <t>-73,877143</t>
  </si>
  <si>
    <t>4,866719</t>
  </si>
  <si>
    <t>-74,790058</t>
  </si>
  <si>
    <t>4,517517</t>
  </si>
  <si>
    <t>-73,83293</t>
  </si>
  <si>
    <t>4,935211</t>
  </si>
  <si>
    <t>-74,467437</t>
  </si>
  <si>
    <t>4,877968</t>
  </si>
  <si>
    <t>-73,815107</t>
  </si>
  <si>
    <t>4,215306</t>
  </si>
  <si>
    <t>-74,003042</t>
  </si>
  <si>
    <t>4,254679</t>
  </si>
  <si>
    <t>-74,695474</t>
  </si>
  <si>
    <t>4,562273</t>
  </si>
  <si>
    <t>-73,662961</t>
  </si>
  <si>
    <t>4,79057</t>
  </si>
  <si>
    <t>-73,968161</t>
  </si>
  <si>
    <t>4,721104</t>
  </si>
  <si>
    <t>-74,461588</t>
  </si>
  <si>
    <t>4,631028</t>
  </si>
  <si>
    <t>-74,391022</t>
  </si>
  <si>
    <t>5,358816</t>
  </si>
  <si>
    <t>-74,394105</t>
  </si>
  <si>
    <t>5,198945</t>
  </si>
  <si>
    <t>-74,336885</t>
  </si>
  <si>
    <t>4,997768</t>
  </si>
  <si>
    <t>-73,711512</t>
  </si>
  <si>
    <t>5,306131</t>
  </si>
  <si>
    <t>-73,608226</t>
  </si>
  <si>
    <t>5,08007</t>
  </si>
  <si>
    <t>-74,265854</t>
  </si>
  <si>
    <t>4,732791</t>
  </si>
  <si>
    <t>-73,540444</t>
  </si>
  <si>
    <t>5,009008</t>
  </si>
  <si>
    <t>-73,348449</t>
  </si>
  <si>
    <t>4,506298</t>
  </si>
  <si>
    <t>-74,221154</t>
  </si>
  <si>
    <t>4,70653</t>
  </si>
  <si>
    <t>-74,824732</t>
  </si>
  <si>
    <t>4,399837</t>
  </si>
  <si>
    <t>-73,877888</t>
  </si>
  <si>
    <t>5,068705</t>
  </si>
  <si>
    <t>-74,620009</t>
  </si>
  <si>
    <t>4,305838</t>
  </si>
  <si>
    <t>-74,38604</t>
  </si>
  <si>
    <t>5,125992</t>
  </si>
  <si>
    <t>-74,379093</t>
  </si>
  <si>
    <t>5,069466</t>
  </si>
  <si>
    <t>-74,478301</t>
  </si>
  <si>
    <t>4,089056</t>
  </si>
  <si>
    <t>-74,156132</t>
  </si>
  <si>
    <t>5,136907</t>
  </si>
  <si>
    <t>-74,152213</t>
  </si>
  <si>
    <t>5,370487</t>
  </si>
  <si>
    <t>-74,486641</t>
  </si>
  <si>
    <t>4,190393</t>
  </si>
  <si>
    <t>-73,212825</t>
  </si>
  <si>
    <t>4,374832</t>
  </si>
  <si>
    <t>-74,302276</t>
  </si>
  <si>
    <t>4,308979</t>
  </si>
  <si>
    <t>-74,653695</t>
  </si>
  <si>
    <t>5,465413</t>
  </si>
  <si>
    <t>-74,71438</t>
  </si>
  <si>
    <t>4,682022</t>
  </si>
  <si>
    <t>-74,48014</t>
  </si>
  <si>
    <t>5,118076</t>
  </si>
  <si>
    <t>-73,863214</t>
  </si>
  <si>
    <t>4,329884</t>
  </si>
  <si>
    <t>-74,533705</t>
  </si>
  <si>
    <t>4,74481</t>
  </si>
  <si>
    <t>-74,593926</t>
  </si>
  <si>
    <t>4,520304</t>
  </si>
  <si>
    <t>-74,772861</t>
  </si>
  <si>
    <t>4,282113</t>
  </si>
  <si>
    <t>-74,351443</t>
  </si>
  <si>
    <t>4,616138</t>
  </si>
  <si>
    <t>-74,42296</t>
  </si>
  <si>
    <t>4,179433</t>
  </si>
  <si>
    <t>-74,024754</t>
  </si>
  <si>
    <t>5,332938</t>
  </si>
  <si>
    <t>-74,289672</t>
  </si>
  <si>
    <t>4,972917</t>
  </si>
  <si>
    <t>-74,621919</t>
  </si>
  <si>
    <t>4,847575</t>
  </si>
  <si>
    <t>-74,432628</t>
  </si>
  <si>
    <t>4,962167</t>
  </si>
  <si>
    <t>-73,796099</t>
  </si>
  <si>
    <t>5,04476</t>
  </si>
  <si>
    <t>-74,257874</t>
  </si>
  <si>
    <t>4,492625</t>
  </si>
  <si>
    <t>-74,405534</t>
  </si>
  <si>
    <t>4,381981</t>
  </si>
  <si>
    <t>-73,850703</t>
  </si>
  <si>
    <t>5,505231</t>
  </si>
  <si>
    <t>-74,215463</t>
  </si>
  <si>
    <t>4,579268</t>
  </si>
  <si>
    <t>-73,943328</t>
  </si>
  <si>
    <t>4,915395</t>
  </si>
  <si>
    <t>-74,172773</t>
  </si>
  <si>
    <t>4,929118</t>
  </si>
  <si>
    <t>-73,798227</t>
  </si>
  <si>
    <t>5,103495</t>
  </si>
  <si>
    <t>-74,235403</t>
  </si>
  <si>
    <t>5,06162</t>
  </si>
  <si>
    <t>-73,813938</t>
  </si>
  <si>
    <t>5,455291</t>
  </si>
  <si>
    <t>-73,853159</t>
  </si>
  <si>
    <t>5,247482</t>
  </si>
  <si>
    <t>-74,096461</t>
  </si>
  <si>
    <t>4,916832</t>
  </si>
  <si>
    <t>-73,887813</t>
  </si>
  <si>
    <t>5,196333</t>
  </si>
  <si>
    <t>-74,389193</t>
  </si>
  <si>
    <t>4,655286</t>
  </si>
  <si>
    <t>-74,143724</t>
  </si>
  <si>
    <t>4,872014</t>
  </si>
  <si>
    <t>-74,452662</t>
  </si>
  <si>
    <t>4,348605</t>
  </si>
  <si>
    <t>-73,504514</t>
  </si>
  <si>
    <t>5,052278</t>
  </si>
  <si>
    <t>-74,636296</t>
  </si>
  <si>
    <t>4,459279</t>
  </si>
  <si>
    <t>-73,91207</t>
  </si>
  <si>
    <t>4,964641</t>
  </si>
  <si>
    <t>-74,300626</t>
  </si>
  <si>
    <t>5,336224</t>
  </si>
  <si>
    <t>-73,531489</t>
  </si>
  <si>
    <t>4,74762</t>
  </si>
  <si>
    <t>-73,933477</t>
  </si>
  <si>
    <t>4,483788</t>
  </si>
  <si>
    <t>-73,814367</t>
  </si>
  <si>
    <t>5,307463</t>
  </si>
  <si>
    <t>-74,025183</t>
  </si>
  <si>
    <t>4,40245</t>
  </si>
  <si>
    <t>-74,483154</t>
  </si>
  <si>
    <t>5,19055</t>
  </si>
  <si>
    <t>-74,346163</t>
  </si>
  <si>
    <t>5,117258</t>
  </si>
  <si>
    <t>-74,56132</t>
  </si>
  <si>
    <t>4,875208</t>
  </si>
  <si>
    <t>-74,195145</t>
  </si>
  <si>
    <t>5,273024</t>
  </si>
  <si>
    <t>-73,595704</t>
  </si>
  <si>
    <t>5,216393</t>
  </si>
  <si>
    <t>-74,469686</t>
  </si>
  <si>
    <t>5,012754</t>
  </si>
  <si>
    <t>-74,523131</t>
  </si>
  <si>
    <t>4,43935</t>
  </si>
  <si>
    <t>-74,33806</t>
  </si>
  <si>
    <t>5,459272</t>
  </si>
  <si>
    <t>-74,379566</t>
  </si>
  <si>
    <t>4,759932</t>
  </si>
  <si>
    <t>-73,994444</t>
  </si>
  <si>
    <t>5,025477</t>
  </si>
  <si>
    <t>27</t>
  </si>
  <si>
    <t>-76,638144</t>
  </si>
  <si>
    <t>5,682166</t>
  </si>
  <si>
    <t>-77,279951</t>
  </si>
  <si>
    <t>8,512178</t>
  </si>
  <si>
    <t>-76,974373</t>
  </si>
  <si>
    <t>5,516221</t>
  </si>
  <si>
    <t>-76,635674</t>
  </si>
  <si>
    <t>5,531419</t>
  </si>
  <si>
    <t>-76,416063</t>
  </si>
  <si>
    <t>5,409681</t>
  </si>
  <si>
    <t>-77,401359</t>
  </si>
  <si>
    <t>6,222807</t>
  </si>
  <si>
    <t>-77,365717</t>
  </si>
  <si>
    <t>4,954576</t>
  </si>
  <si>
    <t>-76,886773</t>
  </si>
  <si>
    <t>6,559708</t>
  </si>
  <si>
    <t>-76,726844</t>
  </si>
  <si>
    <t>5,335321</t>
  </si>
  <si>
    <t>-76,970798</t>
  </si>
  <si>
    <t>7,158294</t>
  </si>
  <si>
    <t>-76,607619</t>
  </si>
  <si>
    <t>5,371373</t>
  </si>
  <si>
    <t>-76,650683</t>
  </si>
  <si>
    <t>5,091003</t>
  </si>
  <si>
    <t>-76,142112</t>
  </si>
  <si>
    <t>5,899789</t>
  </si>
  <si>
    <t>-77,363702</t>
  </si>
  <si>
    <t>4,259564</t>
  </si>
  <si>
    <t>-76,68518</t>
  </si>
  <si>
    <t>5,153946</t>
  </si>
  <si>
    <t>-77,762751</t>
  </si>
  <si>
    <t>7,103619</t>
  </si>
  <si>
    <t>-76,545147</t>
  </si>
  <si>
    <t>5,49789</t>
  </si>
  <si>
    <t>-76,783042</t>
  </si>
  <si>
    <t>5,994935</t>
  </si>
  <si>
    <t>-76,950891</t>
  </si>
  <si>
    <t>5,192471</t>
  </si>
  <si>
    <t>-76,694409</t>
  </si>
  <si>
    <t>5,098291</t>
  </si>
  <si>
    <t>-76,609467</t>
  </si>
  <si>
    <t>4,956063</t>
  </si>
  <si>
    <t>NUEVO BELÉN DE BAJIRÁ</t>
  </si>
  <si>
    <t>-76,71727</t>
  </si>
  <si>
    <t>7,3719</t>
  </si>
  <si>
    <t>-77,265507</t>
  </si>
  <si>
    <t>5,709812</t>
  </si>
  <si>
    <t>-76,472925</t>
  </si>
  <si>
    <t>5,1863</t>
  </si>
  <si>
    <t>-76,740684</t>
  </si>
  <si>
    <t>5,483667</t>
  </si>
  <si>
    <t>-77,113156</t>
  </si>
  <si>
    <t>7,436704</t>
  </si>
  <si>
    <t>-76,234227</t>
  </si>
  <si>
    <t>4,896954</t>
  </si>
  <si>
    <t>-76,643453</t>
  </si>
  <si>
    <t>4,65262</t>
  </si>
  <si>
    <t>-76,558571</t>
  </si>
  <si>
    <t>5,264873</t>
  </si>
  <si>
    <t>-77,092538</t>
  </si>
  <si>
    <t>8,04406</t>
  </si>
  <si>
    <t>-76,630143</t>
  </si>
  <si>
    <t>5,281108</t>
  </si>
  <si>
    <t>41</t>
  </si>
  <si>
    <t>-75,277327</t>
  </si>
  <si>
    <t>2,935432</t>
  </si>
  <si>
    <t>-75,888706</t>
  </si>
  <si>
    <t>1,805173</t>
  </si>
  <si>
    <t>-75,772022</t>
  </si>
  <si>
    <t>2,25987</t>
  </si>
  <si>
    <t>-75,239017</t>
  </si>
  <si>
    <t>3,223996</t>
  </si>
  <si>
    <t>-75,315389</t>
  </si>
  <si>
    <t>2,521674</t>
  </si>
  <si>
    <t>-75,788471</t>
  </si>
  <si>
    <t>2,063841</t>
  </si>
  <si>
    <t>-75,054843</t>
  </si>
  <si>
    <t>3,152204</t>
  </si>
  <si>
    <t>-75,325748</t>
  </si>
  <si>
    <t>2,686767</t>
  </si>
  <si>
    <t>-74,802815</t>
  </si>
  <si>
    <t>3,376745</t>
  </si>
  <si>
    <t>-75,938301</t>
  </si>
  <si>
    <t>2,012854</t>
  </si>
  <si>
    <t>-75,627057</t>
  </si>
  <si>
    <t>2,196493</t>
  </si>
  <si>
    <t>-75,547681</t>
  </si>
  <si>
    <t>2,384031</t>
  </si>
  <si>
    <t>-75,757185</t>
  </si>
  <si>
    <t>2,02426</t>
  </si>
  <si>
    <t>-75,447697</t>
  </si>
  <si>
    <t>2,580812</t>
  </si>
  <si>
    <t>-75,634497</t>
  </si>
  <si>
    <t>2,649359</t>
  </si>
  <si>
    <t>-76,217637</t>
  </si>
  <si>
    <t>1,929467</t>
  </si>
  <si>
    <t>-75,979763</t>
  </si>
  <si>
    <t>2,198496</t>
  </si>
  <si>
    <t>-75,891254</t>
  </si>
  <si>
    <t>2,389263</t>
  </si>
  <si>
    <t>-75,808756</t>
  </si>
  <si>
    <t>2,5451</t>
  </si>
  <si>
    <t>-75,995165</t>
  </si>
  <si>
    <t>2,025088</t>
  </si>
  <si>
    <t>-75,773158</t>
  </si>
  <si>
    <t>2,449651</t>
  </si>
  <si>
    <t>-75,435296</t>
  </si>
  <si>
    <t>2,889649</t>
  </si>
  <si>
    <t>-76,133251</t>
  </si>
  <si>
    <t>1,723725</t>
  </si>
  <si>
    <t>-75,804544</t>
  </si>
  <si>
    <t>2,266618</t>
  </si>
  <si>
    <t>-76,049441</t>
  </si>
  <si>
    <t>1,852631</t>
  </si>
  <si>
    <t>-75,258753</t>
  </si>
  <si>
    <t>2,777586</t>
  </si>
  <si>
    <t>-76,044747</t>
  </si>
  <si>
    <t>1,9934</t>
  </si>
  <si>
    <t>-76,27036</t>
  </si>
  <si>
    <t>1,881081</t>
  </si>
  <si>
    <t>-75,586223</t>
  </si>
  <si>
    <t>2,939603</t>
  </si>
  <si>
    <t>-75,79525</t>
  </si>
  <si>
    <t>1,976051</t>
  </si>
  <si>
    <t>-75,823976</t>
  </si>
  <si>
    <t>2,111325</t>
  </si>
  <si>
    <t>-75,730271</t>
  </si>
  <si>
    <t>2,486364</t>
  </si>
  <si>
    <t>-75,138773</t>
  </si>
  <si>
    <t>3,067538</t>
  </si>
  <si>
    <t>-75,567034</t>
  </si>
  <si>
    <t>2,740968</t>
  </si>
  <si>
    <t>-75,932167</t>
  </si>
  <si>
    <t>1,974539</t>
  </si>
  <si>
    <t>-75,217174</t>
  </si>
  <si>
    <t>3,218822</t>
  </si>
  <si>
    <t>-75,518023</t>
  </si>
  <si>
    <t>2,664694</t>
  </si>
  <si>
    <t>44</t>
  </si>
  <si>
    <t>-72,911795</t>
  </si>
  <si>
    <t>11,528588</t>
  </si>
  <si>
    <t>-72,61232</t>
  </si>
  <si>
    <t>11,151628</t>
  </si>
  <si>
    <t>-72,793639</t>
  </si>
  <si>
    <t>10,958669</t>
  </si>
  <si>
    <t>-73,307598</t>
  </si>
  <si>
    <t>11,27155</t>
  </si>
  <si>
    <t>-72,887405</t>
  </si>
  <si>
    <t>10,898414</t>
  </si>
  <si>
    <t>-72,92673</t>
  </si>
  <si>
    <t>10,653505</t>
  </si>
  <si>
    <t>-72,846319</t>
  </si>
  <si>
    <t>10,886734</t>
  </si>
  <si>
    <t>-72,75904</t>
  </si>
  <si>
    <t>11,068864</t>
  </si>
  <si>
    <t>-73,072638</t>
  </si>
  <si>
    <t>10,511862</t>
  </si>
  <si>
    <t>-72,242738</t>
  </si>
  <si>
    <t>11,378535</t>
  </si>
  <si>
    <t>-72,438739</t>
  </si>
  <si>
    <t>11,773767</t>
  </si>
  <si>
    <t>-73,000629</t>
  </si>
  <si>
    <t>10,769546</t>
  </si>
  <si>
    <t>-72,265906</t>
  </si>
  <si>
    <t>11,711904</t>
  </si>
  <si>
    <t>-73,012507</t>
  </si>
  <si>
    <t>10,560169</t>
  </si>
  <si>
    <t>-72,977583</t>
  </si>
  <si>
    <t>10,608774</t>
  </si>
  <si>
    <t>47</t>
  </si>
  <si>
    <t>-74,199829</t>
  </si>
  <si>
    <t>11,204679</t>
  </si>
  <si>
    <t>-74,061132</t>
  </si>
  <si>
    <t>10,188059</t>
  </si>
  <si>
    <t>-74,186702</t>
  </si>
  <si>
    <t>10,589791</t>
  </si>
  <si>
    <t>-74,236515</t>
  </si>
  <si>
    <t>9,847047</t>
  </si>
  <si>
    <t>-74,868474</t>
  </si>
  <si>
    <t>10,325531</t>
  </si>
  <si>
    <t>-74,622242</t>
  </si>
  <si>
    <t>10,026631</t>
  </si>
  <si>
    <t>-74,241286</t>
  </si>
  <si>
    <t>11,006654</t>
  </si>
  <si>
    <t>-74,83303</t>
  </si>
  <si>
    <t>10,257314</t>
  </si>
  <si>
    <t>-73,97437</t>
  </si>
  <si>
    <t>9,008503</t>
  </si>
  <si>
    <t>-74,823094</t>
  </si>
  <si>
    <t>10,402781</t>
  </si>
  <si>
    <t>-74,268444</t>
  </si>
  <si>
    <t>10,610488</t>
  </si>
  <si>
    <t>-74,191453</t>
  </si>
  <si>
    <t>10,514146</t>
  </si>
  <si>
    <t>-74,223689</t>
  </si>
  <si>
    <t>9,144354</t>
  </si>
  <si>
    <t>-74,391841</t>
  </si>
  <si>
    <t>9,80186</t>
  </si>
  <si>
    <t>-74,9154</t>
  </si>
  <si>
    <t>10,18825</t>
  </si>
  <si>
    <t>-74,459034</t>
  </si>
  <si>
    <t>9,331922</t>
  </si>
  <si>
    <t>-74,613312</t>
  </si>
  <si>
    <t>10,460707</t>
  </si>
  <si>
    <t>-74,784549</t>
  </si>
  <si>
    <t>9,796713</t>
  </si>
  <si>
    <t>-74,28253</t>
  </si>
  <si>
    <t>10,994766</t>
  </si>
  <si>
    <t>-74,716172</t>
  </si>
  <si>
    <t>10,701952</t>
  </si>
  <si>
    <t>-74,213946</t>
  </si>
  <si>
    <t>10,032536</t>
  </si>
  <si>
    <t>-74,794189</t>
  </si>
  <si>
    <t>10,491229</t>
  </si>
  <si>
    <t>-74,351498</t>
  </si>
  <si>
    <t>9,241656</t>
  </si>
  <si>
    <t>-74,498992</t>
  </si>
  <si>
    <t>9,245061</t>
  </si>
  <si>
    <t>-74,566845</t>
  </si>
  <si>
    <t>9,324294</t>
  </si>
  <si>
    <t>-74,704667</t>
  </si>
  <si>
    <t>9,432263</t>
  </si>
  <si>
    <t>-74,720021</t>
  </si>
  <si>
    <t>10,775285</t>
  </si>
  <si>
    <t>-74,859783</t>
  </si>
  <si>
    <t>9,898273</t>
  </si>
  <si>
    <t>-74,716878</t>
  </si>
  <si>
    <t>10,168297</t>
  </si>
  <si>
    <t>-74,140091</t>
  </si>
  <si>
    <t>10,763024</t>
  </si>
  <si>
    <t>50</t>
  </si>
  <si>
    <t>-73,622601</t>
  </si>
  <si>
    <t>4,126369</t>
  </si>
  <si>
    <t>-73,766034</t>
  </si>
  <si>
    <t>3,990413</t>
  </si>
  <si>
    <t>-72,961083</t>
  </si>
  <si>
    <t>4,566225</t>
  </si>
  <si>
    <t>-72,791768</t>
  </si>
  <si>
    <t>4,286705</t>
  </si>
  <si>
    <t>-73,687302</t>
  </si>
  <si>
    <t>3,830005</t>
  </si>
  <si>
    <t>-73,837999</t>
  </si>
  <si>
    <t>3,793653</t>
  </si>
  <si>
    <t>-73,487052</t>
  </si>
  <si>
    <t>4,270042</t>
  </si>
  <si>
    <t>-73,713325</t>
  </si>
  <si>
    <t>4,352665</t>
  </si>
  <si>
    <t>-73,794225</t>
  </si>
  <si>
    <t>3,563907</t>
  </si>
  <si>
    <t>-73,835264</t>
  </si>
  <si>
    <t>3,739984</t>
  </si>
  <si>
    <t>-73,618121</t>
  </si>
  <si>
    <t>3,462875</t>
  </si>
  <si>
    <t>-73,705815</t>
  </si>
  <si>
    <t>3,547147</t>
  </si>
  <si>
    <t>-73,768815</t>
  </si>
  <si>
    <t>3,879657</t>
  </si>
  <si>
    <t>-72,135509</t>
  </si>
  <si>
    <t>2,896617</t>
  </si>
  <si>
    <t>-74,044328</t>
  </si>
  <si>
    <t>3,382732</t>
  </si>
  <si>
    <t>-73,78661</t>
  </si>
  <si>
    <t>2,177143</t>
  </si>
  <si>
    <t>-74,351508</t>
  </si>
  <si>
    <t>3,239634</t>
  </si>
  <si>
    <t>-74,023514</t>
  </si>
  <si>
    <t>3,525115</t>
  </si>
  <si>
    <t>-72,760209</t>
  </si>
  <si>
    <t>2,624006</t>
  </si>
  <si>
    <t>-72,087649</t>
  </si>
  <si>
    <t>4,314905</t>
  </si>
  <si>
    <t>-72,957324</t>
  </si>
  <si>
    <t>4,09349</t>
  </si>
  <si>
    <t>-73,37385</t>
  </si>
  <si>
    <t>3,272117</t>
  </si>
  <si>
    <t>-73,206314</t>
  </si>
  <si>
    <t>2,939621</t>
  </si>
  <si>
    <t>-73,565408</t>
  </si>
  <si>
    <t>4,259556</t>
  </si>
  <si>
    <t>-73,242253</t>
  </si>
  <si>
    <t>3,71065</t>
  </si>
  <si>
    <t>-73,875832</t>
  </si>
  <si>
    <t>3,373728</t>
  </si>
  <si>
    <t>-73,676699</t>
  </si>
  <si>
    <t>4,458181</t>
  </si>
  <si>
    <t>-73,695812</t>
  </si>
  <si>
    <t>3,701899</t>
  </si>
  <si>
    <t>-73,750966</t>
  </si>
  <si>
    <t>3,125579</t>
  </si>
  <si>
    <t>52</t>
  </si>
  <si>
    <t>-77,278795</t>
  </si>
  <si>
    <t>1,212352</t>
  </si>
  <si>
    <t>-77,080712</t>
  </si>
  <si>
    <t>1,474978</t>
  </si>
  <si>
    <t>-77,700564</t>
  </si>
  <si>
    <t>0,882381</t>
  </si>
  <si>
    <t>-77,514512</t>
  </si>
  <si>
    <t>1,263276</t>
  </si>
  <si>
    <t>-77,135467</t>
  </si>
  <si>
    <t>1,503418</t>
  </si>
  <si>
    <t>-78,13765</t>
  </si>
  <si>
    <t>1,671733</t>
  </si>
  <si>
    <t>-77,015619</t>
  </si>
  <si>
    <t>1,595681</t>
  </si>
  <si>
    <t>-77,156463</t>
  </si>
  <si>
    <t>1,381453</t>
  </si>
  <si>
    <t>-77,019777</t>
  </si>
  <si>
    <t>1,643878</t>
  </si>
  <si>
    <t>-77,466136</t>
  </si>
  <si>
    <t>1,207854</t>
  </si>
  <si>
    <t>-77,549409</t>
  </si>
  <si>
    <t>0,910458</t>
  </si>
  <si>
    <t>-77,517897</t>
  </si>
  <si>
    <t>0,854564</t>
  </si>
  <si>
    <t>-77,728947</t>
  </si>
  <si>
    <t>0,862978</t>
  </si>
  <si>
    <t>-77,792505</t>
  </si>
  <si>
    <t>0,906367</t>
  </si>
  <si>
    <t>-77,578616</t>
  </si>
  <si>
    <t>1,647163</t>
  </si>
  <si>
    <t>-77,281869</t>
  </si>
  <si>
    <t>1,360545</t>
  </si>
  <si>
    <t>-78,110217</t>
  </si>
  <si>
    <t>2,479688</t>
  </si>
  <si>
    <t>-77,438522</t>
  </si>
  <si>
    <t>1,453567</t>
  </si>
  <si>
    <t>-77,33417</t>
  </si>
  <si>
    <t>1,745309</t>
  </si>
  <si>
    <t>-77,097101</t>
  </si>
  <si>
    <t>1,427277</t>
  </si>
  <si>
    <t>-77,390772</t>
  </si>
  <si>
    <t>1,407913</t>
  </si>
  <si>
    <t>-77,448913</t>
  </si>
  <si>
    <t>1,001159</t>
  </si>
  <si>
    <t>-77,731589</t>
  </si>
  <si>
    <t>0,959744</t>
  </si>
  <si>
    <t>-77,549824</t>
  </si>
  <si>
    <t>1,129574</t>
  </si>
  <si>
    <t>-77,568701</t>
  </si>
  <si>
    <t>0,919652</t>
  </si>
  <si>
    <t>-77,521227</t>
  </si>
  <si>
    <t>0,96952</t>
  </si>
  <si>
    <t>-77,496339</t>
  </si>
  <si>
    <t>1,05506</t>
  </si>
  <si>
    <t>-77,646367</t>
  </si>
  <si>
    <t>0,827732</t>
  </si>
  <si>
    <t>-76,970504</t>
  </si>
  <si>
    <t>1,601318</t>
  </si>
  <si>
    <t>-77,402882</t>
  </si>
  <si>
    <t>1,29753</t>
  </si>
  <si>
    <t>-77,58091</t>
  </si>
  <si>
    <t>1,472892</t>
  </si>
  <si>
    <t>-78,189725</t>
  </si>
  <si>
    <t>2,398999</t>
  </si>
  <si>
    <t>-77,131316</t>
  </si>
  <si>
    <t>1,600219</t>
  </si>
  <si>
    <t>-77,306135</t>
  </si>
  <si>
    <t>1,934453</t>
  </si>
  <si>
    <t>-77,523953</t>
  </si>
  <si>
    <t>1,350814</t>
  </si>
  <si>
    <t>-77,521303</t>
  </si>
  <si>
    <t>1,494587</t>
  </si>
  <si>
    <t>-78,182924</t>
  </si>
  <si>
    <t>1,765633</t>
  </si>
  <si>
    <t>-77,864549</t>
  </si>
  <si>
    <t>1,141037</t>
  </si>
  <si>
    <t>-78,452992</t>
  </si>
  <si>
    <t>2,507139</t>
  </si>
  <si>
    <t>-77,357972</t>
  </si>
  <si>
    <t>1,288979</t>
  </si>
  <si>
    <t>-78,325814</t>
  </si>
  <si>
    <t>2,347457</t>
  </si>
  <si>
    <t>-77,566082</t>
  </si>
  <si>
    <t>1,058433</t>
  </si>
  <si>
    <t>-78,658361</t>
  </si>
  <si>
    <t>2,040629</t>
  </si>
  <si>
    <t>-77,458686</t>
  </si>
  <si>
    <t>1,627196</t>
  </si>
  <si>
    <t>-77,573003</t>
  </si>
  <si>
    <t>0,806639</t>
  </si>
  <si>
    <t>-77,596794</t>
  </si>
  <si>
    <t>1,237814</t>
  </si>
  <si>
    <t>-77,504211</t>
  </si>
  <si>
    <t>0,885125</t>
  </si>
  <si>
    <t>-77,636042</t>
  </si>
  <si>
    <t>0,870442</t>
  </si>
  <si>
    <t>-77,995153</t>
  </si>
  <si>
    <t>1,212492</t>
  </si>
  <si>
    <t>-78,245716</t>
  </si>
  <si>
    <t>1,697492</t>
  </si>
  <si>
    <t>-77,594341</t>
  </si>
  <si>
    <t>1,335438</t>
  </si>
  <si>
    <t>-77,47313</t>
  </si>
  <si>
    <t>1,283438</t>
  </si>
  <si>
    <t>-77,0475</t>
  </si>
  <si>
    <t>1,513762</t>
  </si>
  <si>
    <t>-77,21542</t>
  </si>
  <si>
    <t>1,503362</t>
  </si>
  <si>
    <t>-77,013984</t>
  </si>
  <si>
    <t>1,669429</t>
  </si>
  <si>
    <t>-77,11941</t>
  </si>
  <si>
    <t>1,551572</t>
  </si>
  <si>
    <t>-77,979916</t>
  </si>
  <si>
    <t>2,449653</t>
  </si>
  <si>
    <t>-77,677035</t>
  </si>
  <si>
    <t>1,222589</t>
  </si>
  <si>
    <t>-77,62028</t>
  </si>
  <si>
    <t>1,037536</t>
  </si>
  <si>
    <t>-77,2808</t>
  </si>
  <si>
    <t>1,570358</t>
  </si>
  <si>
    <t>-77,393735</t>
  </si>
  <si>
    <t>1,09482</t>
  </si>
  <si>
    <t>-78,764073</t>
  </si>
  <si>
    <t>1,807399</t>
  </si>
  <si>
    <t>-77,61672</t>
  </si>
  <si>
    <t>1,085044</t>
  </si>
  <si>
    <t>-77,400169</t>
  </si>
  <si>
    <t>1,115937</t>
  </si>
  <si>
    <t>54</t>
  </si>
  <si>
    <t>-72,508178</t>
  </si>
  <si>
    <t>7,905725</t>
  </si>
  <si>
    <t>-73,221722</t>
  </si>
  <si>
    <t>8,081616</t>
  </si>
  <si>
    <t>-72,798952</t>
  </si>
  <si>
    <t>7,642985</t>
  </si>
  <si>
    <t>-72,64701</t>
  </si>
  <si>
    <t>7,612192</t>
  </si>
  <si>
    <t>-72,868231</t>
  </si>
  <si>
    <t>8,041299</t>
  </si>
  <si>
    <t>-72,642059</t>
  </si>
  <si>
    <t>7,268705</t>
  </si>
  <si>
    <t>-73,048983</t>
  </si>
  <si>
    <t>7,741248</t>
  </si>
  <si>
    <t>-72,601162</t>
  </si>
  <si>
    <t>7,603112</t>
  </si>
  <si>
    <t>-72,665468</t>
  </si>
  <si>
    <t>7,138187</t>
  </si>
  <si>
    <t>-73,3372</t>
  </si>
  <si>
    <t>8,470374</t>
  </si>
  <si>
    <t>-72,772816</t>
  </si>
  <si>
    <t>7,539633</t>
  </si>
  <si>
    <t>-72,658491</t>
  </si>
  <si>
    <t>7,714804</t>
  </si>
  <si>
    <t>-73,446687</t>
  </si>
  <si>
    <t>8,510579</t>
  </si>
  <si>
    <t>-73,09614</t>
  </si>
  <si>
    <t>8,574281</t>
  </si>
  <si>
    <t>-72,604717</t>
  </si>
  <si>
    <t>7,938572</t>
  </si>
  <si>
    <t>-72,787233</t>
  </si>
  <si>
    <t>7,916946</t>
  </si>
  <si>
    <t>-73,145997</t>
  </si>
  <si>
    <t>8,321506</t>
  </si>
  <si>
    <t>-72,483519</t>
  </si>
  <si>
    <t>7,506541</t>
  </si>
  <si>
    <t>-72,495983</t>
  </si>
  <si>
    <t>7,298414</t>
  </si>
  <si>
    <t>-73,328126</t>
  </si>
  <si>
    <t>7,639839</t>
  </si>
  <si>
    <t>-73,239986</t>
  </si>
  <si>
    <t>8,21124</t>
  </si>
  <si>
    <t>-72,505612</t>
  </si>
  <si>
    <t>7,833186</t>
  </si>
  <si>
    <t>-72,832376</t>
  </si>
  <si>
    <t>7,945631</t>
  </si>
  <si>
    <t>-72,747169</t>
  </si>
  <si>
    <t>7,300469</t>
  </si>
  <si>
    <t>-73,35607</t>
  </si>
  <si>
    <t>8,248574</t>
  </si>
  <si>
    <t>-72,647714</t>
  </si>
  <si>
    <t>7,372802</t>
  </si>
  <si>
    <t>-72,639111</t>
  </si>
  <si>
    <t>7,436745</t>
  </si>
  <si>
    <t>-72,411363</t>
  </si>
  <si>
    <t>8,359993</t>
  </si>
  <si>
    <t>-72,476708</t>
  </si>
  <si>
    <t>7,577861</t>
  </si>
  <si>
    <t>-72,813064</t>
  </si>
  <si>
    <t>7,773683</t>
  </si>
  <si>
    <t>-73,208622</t>
  </si>
  <si>
    <t>8,40214</t>
  </si>
  <si>
    <t>-72,625459</t>
  </si>
  <si>
    <t>7,875695</t>
  </si>
  <si>
    <t>-72,716203</t>
  </si>
  <si>
    <t>7,865856</t>
  </si>
  <si>
    <t>-72,800577</t>
  </si>
  <si>
    <t>8,082105</t>
  </si>
  <si>
    <t>-72,757128</t>
  </si>
  <si>
    <t>7,204736</t>
  </si>
  <si>
    <t>-73,28707</t>
  </si>
  <si>
    <t>8,438134</t>
  </si>
  <si>
    <t>-72,734496</t>
  </si>
  <si>
    <t>8,639891</t>
  </si>
  <si>
    <t>-72,481915</t>
  </si>
  <si>
    <t>7,307692</t>
  </si>
  <si>
    <t>-72,973601</t>
  </si>
  <si>
    <t>7,914244</t>
  </si>
  <si>
    <t>-72,469758</t>
  </si>
  <si>
    <t>7,847672</t>
  </si>
  <si>
    <t>63</t>
  </si>
  <si>
    <t>-75,680786</t>
  </si>
  <si>
    <t>4,53598</t>
  </si>
  <si>
    <t>-75,739572</t>
  </si>
  <si>
    <t>4,360029</t>
  </si>
  <si>
    <t>-75,646085</t>
  </si>
  <si>
    <t>4,520982</t>
  </si>
  <si>
    <t>-75,636533</t>
  </si>
  <si>
    <t>4,617759</t>
  </si>
  <si>
    <t>-75,687866</t>
  </si>
  <si>
    <t>4,392485</t>
  </si>
  <si>
    <t>-75,658387</t>
  </si>
  <si>
    <t>4,674338</t>
  </si>
  <si>
    <t>-75,790402</t>
  </si>
  <si>
    <t>4,206641</t>
  </si>
  <si>
    <t>-75,786887</t>
  </si>
  <si>
    <t>4,453755</t>
  </si>
  <si>
    <t>-75,749827</t>
  </si>
  <si>
    <t>4,565057</t>
  </si>
  <si>
    <t>-75,703329</t>
  </si>
  <si>
    <t>4,335036</t>
  </si>
  <si>
    <t>-75,765074</t>
  </si>
  <si>
    <t>4,624387</t>
  </si>
  <si>
    <t>-75,570844</t>
  </si>
  <si>
    <t>4,637157</t>
  </si>
  <si>
    <t>66</t>
  </si>
  <si>
    <t>-75,719711</t>
  </si>
  <si>
    <t>4,804985</t>
  </si>
  <si>
    <t>-75,942356</t>
  </si>
  <si>
    <t>5,106526</t>
  </si>
  <si>
    <t>-75,958663</t>
  </si>
  <si>
    <t>4,949096</t>
  </si>
  <si>
    <t>-75,868334</t>
  </si>
  <si>
    <t>5,200793</t>
  </si>
  <si>
    <t>-75,675371</t>
  </si>
  <si>
    <t>4,833131</t>
  </si>
  <si>
    <t>-75,799005</t>
  </si>
  <si>
    <t>5,315367</t>
  </si>
  <si>
    <t>-76,0032</t>
  </si>
  <si>
    <t>5,002787</t>
  </si>
  <si>
    <t>-75,880394</t>
  </si>
  <si>
    <t>4,896624</t>
  </si>
  <si>
    <t>-75,73879</t>
  </si>
  <si>
    <t>4,935771</t>
  </si>
  <si>
    <t>-75,882886</t>
  </si>
  <si>
    <t>5,297039</t>
  </si>
  <si>
    <t>-76,030801</t>
  </si>
  <si>
    <t>5,222043</t>
  </si>
  <si>
    <t>-75,730431</t>
  </si>
  <si>
    <t>5,340456</t>
  </si>
  <si>
    <t>-75,623268</t>
  </si>
  <si>
    <t>4,876271</t>
  </si>
  <si>
    <t>-75,964628</t>
  </si>
  <si>
    <t>5,074911</t>
  </si>
  <si>
    <t>68</t>
  </si>
  <si>
    <t>-73,132562</t>
  </si>
  <si>
    <t>7,11647</t>
  </si>
  <si>
    <t>-73,523132</t>
  </si>
  <si>
    <t>6,162355</t>
  </si>
  <si>
    <t>-73,91336</t>
  </si>
  <si>
    <t>5,759166</t>
  </si>
  <si>
    <t>-73,01786</t>
  </si>
  <si>
    <t>6,694418</t>
  </si>
  <si>
    <t>-73,615965</t>
  </si>
  <si>
    <t>5,932531</t>
  </si>
  <si>
    <t>-73,223047</t>
  </si>
  <si>
    <t>6,634111</t>
  </si>
  <si>
    <t>-73,849243</t>
  </si>
  <si>
    <t>7,064857</t>
  </si>
  <si>
    <t>-73,283669</t>
  </si>
  <si>
    <t>6,899525</t>
  </si>
  <si>
    <t>-73,771346</t>
  </si>
  <si>
    <t>5,988953</t>
  </si>
  <si>
    <t>-73,246475</t>
  </si>
  <si>
    <t>6,592118</t>
  </si>
  <si>
    <t>-72,946491</t>
  </si>
  <si>
    <t>7,347989</t>
  </si>
  <si>
    <t>-72,695427</t>
  </si>
  <si>
    <t>6,527394</t>
  </si>
  <si>
    <t>-72,627099</t>
  </si>
  <si>
    <t>6,629016</t>
  </si>
  <si>
    <t>-72,973536</t>
  </si>
  <si>
    <t>6,753518</t>
  </si>
  <si>
    <t>-72,694851</t>
  </si>
  <si>
    <t>6,840405</t>
  </si>
  <si>
    <t>-73,146873</t>
  </si>
  <si>
    <t>6,284339</t>
  </si>
  <si>
    <t>-72,968798</t>
  </si>
  <si>
    <t>7,28082</t>
  </si>
  <si>
    <t>-73,373656</t>
  </si>
  <si>
    <t>6,344348</t>
  </si>
  <si>
    <t>-73,637111</t>
  </si>
  <si>
    <t>6,062521</t>
  </si>
  <si>
    <t>-73,953011</t>
  </si>
  <si>
    <t>6,320886</t>
  </si>
  <si>
    <t>-72,694567</t>
  </si>
  <si>
    <t>6,768908</t>
  </si>
  <si>
    <t>-73,240554</t>
  </si>
  <si>
    <t>6,357327</t>
  </si>
  <si>
    <t>-73,474426</t>
  </si>
  <si>
    <t>6,290561</t>
  </si>
  <si>
    <t>-73,040816</t>
  </si>
  <si>
    <t>6,294999</t>
  </si>
  <si>
    <t>-73,069383</t>
  </si>
  <si>
    <t>6,605099</t>
  </si>
  <si>
    <t>-73,51066</t>
  </si>
  <si>
    <t>6,700038</t>
  </si>
  <si>
    <t>-73,496908</t>
  </si>
  <si>
    <t>6,245111</t>
  </si>
  <si>
    <t>-73,815532</t>
  </si>
  <si>
    <t>6,05537</t>
  </si>
  <si>
    <t>-73,20287</t>
  </si>
  <si>
    <t>7,470715</t>
  </si>
  <si>
    <t>-73,098749</t>
  </si>
  <si>
    <t>6,137429</t>
  </si>
  <si>
    <t>-72,699647</t>
  </si>
  <si>
    <t>6,668034</t>
  </si>
  <si>
    <t>-73,97143</t>
  </si>
  <si>
    <t>5,804659</t>
  </si>
  <si>
    <t>-73,099104</t>
  </si>
  <si>
    <t>7,072329</t>
  </si>
  <si>
    <t>-73,287769</t>
  </si>
  <si>
    <t>6,638423</t>
  </si>
  <si>
    <t>-73,344185</t>
  </si>
  <si>
    <t>5,945998</t>
  </si>
  <si>
    <t>-73,166832</t>
  </si>
  <si>
    <t>7,070432</t>
  </si>
  <si>
    <t>-72,856322</t>
  </si>
  <si>
    <t>6,876563</t>
  </si>
  <si>
    <t>-73,419292</t>
  </si>
  <si>
    <t>6,245847</t>
  </si>
  <si>
    <t>-73,320732</t>
  </si>
  <si>
    <t>6,308635</t>
  </si>
  <si>
    <t>-73,700906</t>
  </si>
  <si>
    <t>5,954348</t>
  </si>
  <si>
    <t>-73,575146</t>
  </si>
  <si>
    <t>6,025013</t>
  </si>
  <si>
    <t>6,543957</t>
  </si>
  <si>
    <t>-73,783396</t>
  </si>
  <si>
    <t>5,876497</t>
  </si>
  <si>
    <t>-73,096053</t>
  </si>
  <si>
    <t>6,732727</t>
  </si>
  <si>
    <t>-73,965494</t>
  </si>
  <si>
    <t>5,85925</t>
  </si>
  <si>
    <t>-73,811359</t>
  </si>
  <si>
    <t>6,218812</t>
  </si>
  <si>
    <t>-73,58959</t>
  </si>
  <si>
    <t>6,178509</t>
  </si>
  <si>
    <t>-73,219524</t>
  </si>
  <si>
    <t>7,113351</t>
  </si>
  <si>
    <t>-73,102739</t>
  </si>
  <si>
    <t>6,755203</t>
  </si>
  <si>
    <t>-72,593105</t>
  </si>
  <si>
    <t>6,50658</t>
  </si>
  <si>
    <t>-72,732089</t>
  </si>
  <si>
    <t>6,703081</t>
  </si>
  <si>
    <t>-73,015566</t>
  </si>
  <si>
    <t>7,323175</t>
  </si>
  <si>
    <t>-72,969807</t>
  </si>
  <si>
    <t>6,475246</t>
  </si>
  <si>
    <t>-72,809175</t>
  </si>
  <si>
    <t>6,67432</t>
  </si>
  <si>
    <t>-73,122563</t>
  </si>
  <si>
    <t>6,339988</t>
  </si>
  <si>
    <t>-73,299791</t>
  </si>
  <si>
    <t>6,26521</t>
  </si>
  <si>
    <t>-72,816766</t>
  </si>
  <si>
    <t>6,344104</t>
  </si>
  <si>
    <t>-73,29109</t>
  </si>
  <si>
    <t>6,537789</t>
  </si>
  <si>
    <t>-73,287764</t>
  </si>
  <si>
    <t>6,406139</t>
  </si>
  <si>
    <t>-73,17022</t>
  </si>
  <si>
    <t>6,416811</t>
  </si>
  <si>
    <t>-73,054795</t>
  </si>
  <si>
    <t>6,997245</t>
  </si>
  <si>
    <t>-73,174209</t>
  </si>
  <si>
    <t>6,531552</t>
  </si>
  <si>
    <t>-73,677567</t>
  </si>
  <si>
    <t>5,878381</t>
  </si>
  <si>
    <t>-74,056129</t>
  </si>
  <si>
    <t>6,650785</t>
  </si>
  <si>
    <t>-73,899909</t>
  </si>
  <si>
    <t>7,344057</t>
  </si>
  <si>
    <t>-73,150177</t>
  </si>
  <si>
    <t>7,265014</t>
  </si>
  <si>
    <t>-73,49906</t>
  </si>
  <si>
    <t>7,391919</t>
  </si>
  <si>
    <t>-72,848864</t>
  </si>
  <si>
    <t>6,811511</t>
  </si>
  <si>
    <t>-73,50907</t>
  </si>
  <si>
    <t>6,126656</t>
  </si>
  <si>
    <t>-73,134776</t>
  </si>
  <si>
    <t>6,551952</t>
  </si>
  <si>
    <t>-72,867638</t>
  </si>
  <si>
    <t>6,427548</t>
  </si>
  <si>
    <t>-72,733616</t>
  </si>
  <si>
    <t>6,658995</t>
  </si>
  <si>
    <t>-72,644123</t>
  </si>
  <si>
    <t>6,575315</t>
  </si>
  <si>
    <t>-73,411024</t>
  </si>
  <si>
    <t>6,880383</t>
  </si>
  <si>
    <t>-72,907445</t>
  </si>
  <si>
    <t>6,990996</t>
  </si>
  <si>
    <t>-73,616716</t>
  </si>
  <si>
    <t>6,339565</t>
  </si>
  <si>
    <t>-73,337368</t>
  </si>
  <si>
    <t>6,443469</t>
  </si>
  <si>
    <t>-73,261198</t>
  </si>
  <si>
    <t>6,46387</t>
  </si>
  <si>
    <t>-73,44165</t>
  </si>
  <si>
    <t>6,101329</t>
  </si>
  <si>
    <t>-73,790975</t>
  </si>
  <si>
    <t>5,918743</t>
  </si>
  <si>
    <t>-72,984232</t>
  </si>
  <si>
    <t>7,36658</t>
  </si>
  <si>
    <t>-72,967023</t>
  </si>
  <si>
    <t>7,201417</t>
  </si>
  <si>
    <t>-73,143507</t>
  </si>
  <si>
    <t>6,448028</t>
  </si>
  <si>
    <t>-73,672447</t>
  </si>
  <si>
    <t>6,009275</t>
  </si>
  <si>
    <t>-72,871041</t>
  </si>
  <si>
    <t>7,30981</t>
  </si>
  <si>
    <t>-73,174307</t>
  </si>
  <si>
    <t>6,670078</t>
  </si>
  <si>
    <t>-73,268034</t>
  </si>
  <si>
    <t>6,814387</t>
  </si>
  <si>
    <t>70</t>
  </si>
  <si>
    <t>-75,395445</t>
  </si>
  <si>
    <t>9,302322</t>
  </si>
  <si>
    <t>-74,972827</t>
  </si>
  <si>
    <t>9,319794</t>
  </si>
  <si>
    <t>-75,117141</t>
  </si>
  <si>
    <t>8,789324</t>
  </si>
  <si>
    <t>-75,353256</t>
  </si>
  <si>
    <t>9,494192</t>
  </si>
  <si>
    <t>-75,293048</t>
  </si>
  <si>
    <t>9,318749</t>
  </si>
  <si>
    <t>-75,680158</t>
  </si>
  <si>
    <t>9,402779</t>
  </si>
  <si>
    <t>-75,312697</t>
  </si>
  <si>
    <t>9,545352</t>
  </si>
  <si>
    <t>-75,198378</t>
  </si>
  <si>
    <t>9,100647</t>
  </si>
  <si>
    <t>-75,04959</t>
  </si>
  <si>
    <t>9,160379</t>
  </si>
  <si>
    <t>-74,537749</t>
  </si>
  <si>
    <t>8,468556</t>
  </si>
  <si>
    <t>-75,276056</t>
  </si>
  <si>
    <t>8,853975</t>
  </si>
  <si>
    <t>-75,268716</t>
  </si>
  <si>
    <t>9,380269</t>
  </si>
  <si>
    <t>-74,628077</t>
  </si>
  <si>
    <t>8,541163</t>
  </si>
  <si>
    <t>-75,305949</t>
  </si>
  <si>
    <t>9,331395</t>
  </si>
  <si>
    <t>-75,229037</t>
  </si>
  <si>
    <t>9,527176</t>
  </si>
  <si>
    <t>-75,541264</t>
  </si>
  <si>
    <t>9,333157</t>
  </si>
  <si>
    <t>-75,380222</t>
  </si>
  <si>
    <t>9,183193</t>
  </si>
  <si>
    <t>-75,031089</t>
  </si>
  <si>
    <t>8,930108</t>
  </si>
  <si>
    <t>-75,243565</t>
  </si>
  <si>
    <t>9,273066</t>
  </si>
  <si>
    <t>-75,133831</t>
  </si>
  <si>
    <t>8,661774</t>
  </si>
  <si>
    <t>-75,522398</t>
  </si>
  <si>
    <t>9,736955</t>
  </si>
  <si>
    <t>-75,063647</t>
  </si>
  <si>
    <t>9,39625</t>
  </si>
  <si>
    <t>-75,145999</t>
  </si>
  <si>
    <t>9,244308</t>
  </si>
  <si>
    <t>-74,723175</t>
  </si>
  <si>
    <t>8,811737</t>
  </si>
  <si>
    <t>-75,581112</t>
  </si>
  <si>
    <t>9,525387</t>
  </si>
  <si>
    <t>-75,44085</t>
  </si>
  <si>
    <t>9,451819</t>
  </si>
  <si>
    <t>73</t>
  </si>
  <si>
    <t>-75,19425</t>
  </si>
  <si>
    <t>4,432248</t>
  </si>
  <si>
    <t>-74,9329</t>
  </si>
  <si>
    <t>3,391548</t>
  </si>
  <si>
    <t>-74,953418</t>
  </si>
  <si>
    <t>4,567356</t>
  </si>
  <si>
    <t>-74,764429</t>
  </si>
  <si>
    <t>4,782682</t>
  </si>
  <si>
    <t>-75,093772</t>
  </si>
  <si>
    <t>4,631756</t>
  </si>
  <si>
    <t>-74,884438</t>
  </si>
  <si>
    <t>5,030744</t>
  </si>
  <si>
    <t>-75,382545</t>
  </si>
  <si>
    <t>3,590591</t>
  </si>
  <si>
    <t>-75,431971</t>
  </si>
  <si>
    <t>4,438812</t>
  </si>
  <si>
    <t>-74,717633</t>
  </si>
  <si>
    <t>4,152334</t>
  </si>
  <si>
    <t>-75,120966</t>
  </si>
  <si>
    <t>5,078465</t>
  </si>
  <si>
    <t>-75,480765</t>
  </si>
  <si>
    <t>3,722918</t>
  </si>
  <si>
    <t>-74,898464</t>
  </si>
  <si>
    <t>4,287276</t>
  </si>
  <si>
    <t>-75,193862</t>
  </si>
  <si>
    <t>3,798036</t>
  </si>
  <si>
    <t>-74,692227</t>
  </si>
  <si>
    <t>4,059259</t>
  </si>
  <si>
    <t>-74,896761</t>
  </si>
  <si>
    <t>3,539072</t>
  </si>
  <si>
    <t>-74,885446</t>
  </si>
  <si>
    <t>4,151314</t>
  </si>
  <si>
    <t>-74,953007</t>
  </si>
  <si>
    <t>5,123104</t>
  </si>
  <si>
    <t>-74,818763</t>
  </si>
  <si>
    <t>4,276373</t>
  </si>
  <si>
    <t>-75,035722</t>
  </si>
  <si>
    <t>5,153576</t>
  </si>
  <si>
    <t>-74,968135</t>
  </si>
  <si>
    <t>4,030992</t>
  </si>
  <si>
    <t>-75,177151</t>
  </si>
  <si>
    <t>5,080228</t>
  </si>
  <si>
    <t>-74,75699</t>
  </si>
  <si>
    <t>5,211816</t>
  </si>
  <si>
    <t>-74,531969</t>
  </si>
  <si>
    <t>4,176487</t>
  </si>
  <si>
    <t>-74,910716</t>
  </si>
  <si>
    <t>4,862046</t>
  </si>
  <si>
    <t>-75,061959</t>
  </si>
  <si>
    <t>4,92042</t>
  </si>
  <si>
    <t>-74,889276</t>
  </si>
  <si>
    <t>5,199708</t>
  </si>
  <si>
    <t>-74,641317</t>
  </si>
  <si>
    <t>4,203655</t>
  </si>
  <si>
    <t>-75,171022</t>
  </si>
  <si>
    <t>4,874341</t>
  </si>
  <si>
    <t>-75,093182</t>
  </si>
  <si>
    <t>3,624324</t>
  </si>
  <si>
    <t>-75,222601</t>
  </si>
  <si>
    <t>3,934916</t>
  </si>
  <si>
    <t>-75,022167</t>
  </si>
  <si>
    <t>5,120918</t>
  </si>
  <si>
    <t>-74,878106</t>
  </si>
  <si>
    <t>4,543951</t>
  </si>
  <si>
    <t>-75,644163</t>
  </si>
  <si>
    <t>3,197911</t>
  </si>
  <si>
    <t>-74,927447</t>
  </si>
  <si>
    <t>3,750939</t>
  </si>
  <si>
    <t>-74,935555</t>
  </si>
  <si>
    <t>3,857246</t>
  </si>
  <si>
    <t>-75,644069</t>
  </si>
  <si>
    <t>3,529932</t>
  </si>
  <si>
    <t>-75,605959</t>
  </si>
  <si>
    <t>4,011567</t>
  </si>
  <si>
    <t>-75,240648</t>
  </si>
  <si>
    <t>4,239019</t>
  </si>
  <si>
    <t>-75,016852</t>
  </si>
  <si>
    <t>3,929815</t>
  </si>
  <si>
    <t>-75,480074</t>
  </si>
  <si>
    <t>3,914146</t>
  </si>
  <si>
    <t>-75,095804</t>
  </si>
  <si>
    <t>4,133721</t>
  </si>
  <si>
    <t>-75,097934</t>
  </si>
  <si>
    <t>4,713606</t>
  </si>
  <si>
    <t>-74,831885</t>
  </si>
  <si>
    <t>4,048891</t>
  </si>
  <si>
    <t>-75,115669</t>
  </si>
  <si>
    <t>4,197494</t>
  </si>
  <si>
    <t>-74,929333</t>
  </si>
  <si>
    <t>4,717878</t>
  </si>
  <si>
    <t>-75,117729</t>
  </si>
  <si>
    <t>5,030452</t>
  </si>
  <si>
    <t>-74,600285</t>
  </si>
  <si>
    <t>3,936902</t>
  </si>
  <si>
    <t>76</t>
  </si>
  <si>
    <t>-76,52133</t>
  </si>
  <si>
    <t>3,413686</t>
  </si>
  <si>
    <t>-75,779792</t>
  </si>
  <si>
    <t>4,674994</t>
  </si>
  <si>
    <t>-76,167925</t>
  </si>
  <si>
    <t>4,171713</t>
  </si>
  <si>
    <t>-75,992003</t>
  </si>
  <si>
    <t>4,794984</t>
  </si>
  <si>
    <t>-76,119905</t>
  </si>
  <si>
    <t>4,726945</t>
  </si>
  <si>
    <t>-76,183583</t>
  </si>
  <si>
    <t>4,337846</t>
  </si>
  <si>
    <t>-77,01074</t>
  </si>
  <si>
    <t>3,875708</t>
  </si>
  <si>
    <t>-76,298979</t>
  </si>
  <si>
    <t>3,900736</t>
  </si>
  <si>
    <t>-76,15682</t>
  </si>
  <si>
    <t>4,208358</t>
  </si>
  <si>
    <t>-75,830594</t>
  </si>
  <si>
    <t>4,334808</t>
  </si>
  <si>
    <t>-76,484132</t>
  </si>
  <si>
    <t>3,933664</t>
  </si>
  <si>
    <t>-76,346519</t>
  </si>
  <si>
    <t>3,408354</t>
  </si>
  <si>
    <t>-75,924374</t>
  </si>
  <si>
    <t>4,742192</t>
  </si>
  <si>
    <t>-76,68886</t>
  </si>
  <si>
    <t>3,657318</t>
  </si>
  <si>
    <t>-76,042779</t>
  </si>
  <si>
    <t>4,906062</t>
  </si>
  <si>
    <t>-76,221611</t>
  </si>
  <si>
    <t>4,760874</t>
  </si>
  <si>
    <t>-76,311972</t>
  </si>
  <si>
    <t>3,684229</t>
  </si>
  <si>
    <t>-76,237084</t>
  </si>
  <si>
    <t>4,510452</t>
  </si>
  <si>
    <t>-76,234199</t>
  </si>
  <si>
    <t>3,324118</t>
  </si>
  <si>
    <t>-76,268068</t>
  </si>
  <si>
    <t>3,724181</t>
  </si>
  <si>
    <t>-76,330911</t>
  </si>
  <si>
    <t>3,761815</t>
  </si>
  <si>
    <t>-76,538472</t>
  </si>
  <si>
    <t>3,258751</t>
  </si>
  <si>
    <t>-76,56805</t>
  </si>
  <si>
    <t>3,649268</t>
  </si>
  <si>
    <t>-76,099661</t>
  </si>
  <si>
    <t>4,533869</t>
  </si>
  <si>
    <t>-76,036529</t>
  </si>
  <si>
    <t>4,523603</t>
  </si>
  <si>
    <t>-75,974709</t>
  </si>
  <si>
    <t>4,575712</t>
  </si>
  <si>
    <t>-76,298846</t>
  </si>
  <si>
    <t>3,531544</t>
  </si>
  <si>
    <t>-76,241799</t>
  </si>
  <si>
    <t>3,419793</t>
  </si>
  <si>
    <t>-76,523329</t>
  </si>
  <si>
    <t>3,821351</t>
  </si>
  <si>
    <t>-76,288313</t>
  </si>
  <si>
    <t>4,156908</t>
  </si>
  <si>
    <t>-76,152277</t>
  </si>
  <si>
    <t>4,413601</t>
  </si>
  <si>
    <t>-76,228692</t>
  </si>
  <si>
    <t>3,995073</t>
  </si>
  <si>
    <t>-75,931629</t>
  </si>
  <si>
    <t>4,270714</t>
  </si>
  <si>
    <t>-76,076859</t>
  </si>
  <si>
    <t>4,608085</t>
  </si>
  <si>
    <t>-76,318818</t>
  </si>
  <si>
    <t>4,212037</t>
  </si>
  <si>
    <t>-76,197731</t>
  </si>
  <si>
    <t>4,085399</t>
  </si>
  <si>
    <t>-75,737808</t>
  </si>
  <si>
    <t>4,703623</t>
  </si>
  <si>
    <t>-76,199203</t>
  </si>
  <si>
    <t>4,575019</t>
  </si>
  <si>
    <t>-76,441804</t>
  </si>
  <si>
    <t>3,698686</t>
  </si>
  <si>
    <t>-76,382698</t>
  </si>
  <si>
    <t>3,861241</t>
  </si>
  <si>
    <t>-76,499893</t>
  </si>
  <si>
    <t>3,540097</t>
  </si>
  <si>
    <t>-76,070795</t>
  </si>
  <si>
    <t>4,392658</t>
  </si>
  <si>
    <t>81</t>
  </si>
  <si>
    <t>-70,747408</t>
  </si>
  <si>
    <t>7,072726</t>
  </si>
  <si>
    <t>-71,426733</t>
  </si>
  <si>
    <t>7,02702</t>
  </si>
  <si>
    <t>-70,204286</t>
  </si>
  <si>
    <t>6,303913</t>
  </si>
  <si>
    <t>-71,76877</t>
  </si>
  <si>
    <t>6,796695</t>
  </si>
  <si>
    <t>-71,10339</t>
  </si>
  <si>
    <t>6,281461</t>
  </si>
  <si>
    <t>-71,872812</t>
  </si>
  <si>
    <t>6,953926</t>
  </si>
  <si>
    <t>-71,754427</t>
  </si>
  <si>
    <t>6,453324</t>
  </si>
  <si>
    <t>85</t>
  </si>
  <si>
    <t>-72,396132</t>
  </si>
  <si>
    <t>5,327102</t>
  </si>
  <si>
    <t>-72,546838</t>
  </si>
  <si>
    <t>5,172641</t>
  </si>
  <si>
    <t>-72,87016</t>
  </si>
  <si>
    <t>5,214527</t>
  </si>
  <si>
    <t>-71,764213</t>
  </si>
  <si>
    <t>6,154099</t>
  </si>
  <si>
    <t>-72,334978</t>
  </si>
  <si>
    <t>6,127762</t>
  </si>
  <si>
    <t>-72,281384</t>
  </si>
  <si>
    <t>4,81681</t>
  </si>
  <si>
    <t>-72,894065</t>
  </si>
  <si>
    <t>4,877017</t>
  </si>
  <si>
    <t>-72,195323</t>
  </si>
  <si>
    <t>5,636474</t>
  </si>
  <si>
    <t>-71,338533</t>
  </si>
  <si>
    <t>4,790258</t>
  </si>
  <si>
    <t>-71,890348</t>
  </si>
  <si>
    <t>5,879827</t>
  </si>
  <si>
    <t>-71,99286</t>
  </si>
  <si>
    <t>5,72773</t>
  </si>
  <si>
    <t>-72,760991</t>
  </si>
  <si>
    <t>5,229181</t>
  </si>
  <si>
    <t>-73,038696</t>
  </si>
  <si>
    <t>4,854787</t>
  </si>
  <si>
    <t>-72,250157</t>
  </si>
  <si>
    <t>6,096738</t>
  </si>
  <si>
    <t>-71,732198</t>
  </si>
  <si>
    <t>5,422397</t>
  </si>
  <si>
    <t>-72,16165</t>
  </si>
  <si>
    <t>5,829543</t>
  </si>
  <si>
    <t>-72,74662</t>
  </si>
  <si>
    <t>5,018977</t>
  </si>
  <si>
    <t>-71,662812</t>
  </si>
  <si>
    <t>5,412178</t>
  </si>
  <si>
    <t>-72,927797</t>
  </si>
  <si>
    <t>4,61035</t>
  </si>
  <si>
    <t>86</t>
  </si>
  <si>
    <t>-76,654238</t>
  </si>
  <si>
    <t>1,151172</t>
  </si>
  <si>
    <t>-76,972566</t>
  </si>
  <si>
    <t>1,190133</t>
  </si>
  <si>
    <t>-76,873276</t>
  </si>
  <si>
    <t>0,663593</t>
  </si>
  <si>
    <t>-76,496887</t>
  </si>
  <si>
    <t>0,505627</t>
  </si>
  <si>
    <t>-76,606118</t>
  </si>
  <si>
    <t>0,687784</t>
  </si>
  <si>
    <t>-76,407663</t>
  </si>
  <si>
    <t>0,962854</t>
  </si>
  <si>
    <t>-74,781842</t>
  </si>
  <si>
    <t>-0,192318</t>
  </si>
  <si>
    <t>-76,917814</t>
  </si>
  <si>
    <t>1,20026</t>
  </si>
  <si>
    <t>-76,879283</t>
  </si>
  <si>
    <t>1,174194</t>
  </si>
  <si>
    <t>-76,91217</t>
  </si>
  <si>
    <t>0,34346</t>
  </si>
  <si>
    <t>-77,002641</t>
  </si>
  <si>
    <t>1,147076</t>
  </si>
  <si>
    <t>-76,906751</t>
  </si>
  <si>
    <t>0,423506</t>
  </si>
  <si>
    <t>-76,61721</t>
  </si>
  <si>
    <t>1,028821</t>
  </si>
  <si>
    <t>88</t>
  </si>
  <si>
    <t>Isla</t>
  </si>
  <si>
    <t>-81,707181</t>
  </si>
  <si>
    <t>12,578108</t>
  </si>
  <si>
    <t>-81,368386</t>
  </si>
  <si>
    <t>13,373185</t>
  </si>
  <si>
    <t>91</t>
  </si>
  <si>
    <t>-69,941721</t>
  </si>
  <si>
    <t>-4,19895</t>
  </si>
  <si>
    <t>Área no municipalizada</t>
  </si>
  <si>
    <t>-73,207114</t>
  </si>
  <si>
    <t>-1,74806</t>
  </si>
  <si>
    <t>-72,791889</t>
  </si>
  <si>
    <t>-1,442617</t>
  </si>
  <si>
    <t>-69,585499</t>
  </si>
  <si>
    <t>-1,320301</t>
  </si>
  <si>
    <t>-71,223208</t>
  </si>
  <si>
    <t>0,054936</t>
  </si>
  <si>
    <t>-70,98893</t>
  </si>
  <si>
    <t>-0,888833</t>
  </si>
  <si>
    <t>-74,014461</t>
  </si>
  <si>
    <t>-1,005674</t>
  </si>
  <si>
    <t>-71,752186</t>
  </si>
  <si>
    <t>-2,147039</t>
  </si>
  <si>
    <t>-70,364937</t>
  </si>
  <si>
    <t>-3,779934</t>
  </si>
  <si>
    <t>-72,384213</t>
  </si>
  <si>
    <t>-0,621184</t>
  </si>
  <si>
    <t>-69,741745</t>
  </si>
  <si>
    <t>-2,890126</t>
  </si>
  <si>
    <t>94</t>
  </si>
  <si>
    <t>-67,918613</t>
  </si>
  <si>
    <t>3,866764</t>
  </si>
  <si>
    <t>-69,814066</t>
  </si>
  <si>
    <t>3,494178</t>
  </si>
  <si>
    <t>-67,067848</t>
  </si>
  <si>
    <t>1,912495</t>
  </si>
  <si>
    <t>-67,566774</t>
  </si>
  <si>
    <t>2,726438</t>
  </si>
  <si>
    <t>-66,963692</t>
  </si>
  <si>
    <t>1,632464</t>
  </si>
  <si>
    <t>-67,413312</t>
  </si>
  <si>
    <t>3,52617</t>
  </si>
  <si>
    <t>-69,0099</t>
  </si>
  <si>
    <t>1,865668</t>
  </si>
  <si>
    <t>-69,919404</t>
  </si>
  <si>
    <t>2,265132</t>
  </si>
  <si>
    <t>95</t>
  </si>
  <si>
    <t>-72,639254</t>
  </si>
  <si>
    <t>2,565932</t>
  </si>
  <si>
    <t>-72,655197</t>
  </si>
  <si>
    <t>1,960982</t>
  </si>
  <si>
    <t>-72,627304</t>
  </si>
  <si>
    <t>2,330164</t>
  </si>
  <si>
    <t>-71,950416</t>
  </si>
  <si>
    <t>1,337539</t>
  </si>
  <si>
    <t>97</t>
  </si>
  <si>
    <t>-70,232641</t>
  </si>
  <si>
    <t>1,253151</t>
  </si>
  <si>
    <t>-71,30221</t>
  </si>
  <si>
    <t>1,016116</t>
  </si>
  <si>
    <t>-71,004339</t>
  </si>
  <si>
    <t>0,020698</t>
  </si>
  <si>
    <t>-69,635497</t>
  </si>
  <si>
    <t>-0,564984</t>
  </si>
  <si>
    <t>-70,76091</t>
  </si>
  <si>
    <t>1,908124</t>
  </si>
  <si>
    <t>-69,203337</t>
  </si>
  <si>
    <t>0,609142</t>
  </si>
  <si>
    <t>99</t>
  </si>
  <si>
    <t>-67,487095</t>
  </si>
  <si>
    <t>6,186636</t>
  </si>
  <si>
    <t>-70,410515</t>
  </si>
  <si>
    <t>5,486309</t>
  </si>
  <si>
    <t>-70,859499</t>
  </si>
  <si>
    <t>5,136393</t>
  </si>
  <si>
    <t>-69,795533</t>
  </si>
  <si>
    <t>4,446352</t>
  </si>
  <si>
    <t>MAPIRIPANA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</si>
</sst>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C0C0C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14" fontId="0" fillId="0" borderId="0" xfId="0" applyNumberForma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49" fontId="4" fillId="2" borderId="6" xfId="0" applyNumberFormat="1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49" fontId="4" fillId="0" borderId="8" xfId="0" applyNumberFormat="1" applyFont="1" applyBorder="1" applyAlignment="1">
      <alignment horizontal="left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49" fontId="4" fillId="2" borderId="8" xfId="0" applyNumberFormat="1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49" fontId="5" fillId="2" borderId="8" xfId="0" applyNumberFormat="1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49" fontId="5" fillId="0" borderId="8" xfId="0" applyNumberFormat="1" applyFont="1" applyBorder="1" applyAlignment="1">
      <alignment horizontal="left" vertical="center" wrapText="1"/>
    </xf>
    <xf numFmtId="49" fontId="4" fillId="0" borderId="5" xfId="0" applyNumberFormat="1" applyFont="1" applyBorder="1" applyAlignment="1">
      <alignment horizontal="left" vertical="center" wrapText="1"/>
    </xf>
    <xf numFmtId="49" fontId="4" fillId="0" borderId="9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32666-F94E-486C-9743-1E9AA25B1683}">
  <dimension ref="A1:F1124"/>
  <sheetViews>
    <sheetView tabSelected="1" workbookViewId="0">
      <selection activeCell="B1" sqref="B1"/>
    </sheetView>
  </sheetViews>
  <sheetFormatPr baseColWidth="10" defaultRowHeight="15" x14ac:dyDescent="0.25"/>
  <cols>
    <col min="1" max="1" width="11.5703125" customWidth="1"/>
    <col min="2" max="2" width="19.85546875" bestFit="1" customWidth="1"/>
    <col min="3" max="3" width="24.5703125" customWidth="1"/>
    <col min="4" max="4" width="15" bestFit="1" customWidth="1"/>
    <col min="5" max="5" width="29.140625" bestFit="1" customWidth="1"/>
    <col min="6" max="6" width="15.42578125" style="1" customWidth="1"/>
  </cols>
  <sheetData>
    <row r="1" spans="1:6" x14ac:dyDescent="0.25">
      <c r="A1" s="35" t="s">
        <v>2006</v>
      </c>
      <c r="B1" s="36" t="s">
        <v>2011</v>
      </c>
      <c r="C1" s="35" t="s">
        <v>1035</v>
      </c>
      <c r="D1" s="35" t="s">
        <v>2012</v>
      </c>
      <c r="E1" s="35" t="s">
        <v>2010</v>
      </c>
      <c r="F1" s="35" t="s">
        <v>2007</v>
      </c>
    </row>
    <row r="2" spans="1:6" x14ac:dyDescent="0.25">
      <c r="A2" s="37" t="s">
        <v>0</v>
      </c>
      <c r="B2" s="38" t="str">
        <f t="shared" ref="B2:B65" si="0">MID(A2,1,2)</f>
        <v>91</v>
      </c>
      <c r="C2" s="39" t="str">
        <f>+_xlfn.XLOOKUP(A2,Hoja3!$C$3:$C$1124,Hoja3!$B$3:$B$1124)</f>
        <v>AMAZONAS</v>
      </c>
      <c r="D2" s="40" t="str">
        <f t="shared" ref="D2:D65" si="1">MID(A2,3,3)</f>
        <v>001</v>
      </c>
      <c r="E2" s="39" t="str">
        <f>+_xlfn.XLOOKUP(A2,Hoja3!$C$3:$C$1124,Hoja3!$D$3:$D$1124)</f>
        <v>LETICIA</v>
      </c>
      <c r="F2" s="41">
        <v>43921</v>
      </c>
    </row>
    <row r="3" spans="1:6" x14ac:dyDescent="0.25">
      <c r="A3" s="37" t="s">
        <v>6</v>
      </c>
      <c r="B3" s="38" t="str">
        <f t="shared" si="0"/>
        <v>05</v>
      </c>
      <c r="C3" s="39" t="str">
        <f>+_xlfn.XLOOKUP(A3,Hoja3!$C$3:$C$1124,Hoja3!$B$3:$B$1124)</f>
        <v>ANTIOQUIA</v>
      </c>
      <c r="D3" s="40" t="str">
        <f t="shared" si="1"/>
        <v>001</v>
      </c>
      <c r="E3" s="39" t="str">
        <f>+_xlfn.XLOOKUP(A3,Hoja3!$C$3:$C$1124,Hoja3!$D$3:$D$1124)</f>
        <v>MEDELLÍN</v>
      </c>
      <c r="F3" s="41">
        <v>43890</v>
      </c>
    </row>
    <row r="4" spans="1:6" x14ac:dyDescent="0.25">
      <c r="A4" s="37" t="s">
        <v>129</v>
      </c>
      <c r="B4" s="38" t="str">
        <f t="shared" si="0"/>
        <v>81</v>
      </c>
      <c r="C4" s="39" t="str">
        <f>+_xlfn.XLOOKUP(A4,Hoja3!$C$3:$C$1124,Hoja3!$B$3:$B$1124)</f>
        <v>ARAUCA</v>
      </c>
      <c r="D4" s="40" t="str">
        <f t="shared" si="1"/>
        <v>001</v>
      </c>
      <c r="E4" s="39" t="str">
        <f>+_xlfn.XLOOKUP(A4,Hoja3!$C$3:$C$1124,Hoja3!$D$3:$D$1124)</f>
        <v>ARAUCA</v>
      </c>
      <c r="F4" s="41">
        <v>43945</v>
      </c>
    </row>
    <row r="5" spans="1:6" x14ac:dyDescent="0.25">
      <c r="A5" s="37" t="s">
        <v>134</v>
      </c>
      <c r="B5" s="38" t="str">
        <f t="shared" si="0"/>
        <v>88</v>
      </c>
      <c r="C5" s="39" t="str">
        <f>+_xlfn.XLOOKUP(A5,Hoja3!$C$3:$C$1124,Hoja3!$B$3:$B$1124)</f>
        <v>ARCHIPIÉLAGO DE SAN ANDRÉS, PROVIDENCIA Y SANTA CATALINA</v>
      </c>
      <c r="D5" s="40" t="str">
        <f t="shared" si="1"/>
        <v>001</v>
      </c>
      <c r="E5" s="39" t="str">
        <f>+_xlfn.XLOOKUP(A5,Hoja3!$C$3:$C$1124,Hoja3!$D$3:$D$1124)</f>
        <v>SAN ANDRÉS</v>
      </c>
      <c r="F5" s="41">
        <v>43912</v>
      </c>
    </row>
    <row r="6" spans="1:6" x14ac:dyDescent="0.25">
      <c r="A6" s="37" t="s">
        <v>158</v>
      </c>
      <c r="B6" s="38" t="str">
        <f t="shared" si="0"/>
        <v>08</v>
      </c>
      <c r="C6" s="39" t="str">
        <f>+_xlfn.XLOOKUP(A6,Hoja3!$C$3:$C$1124,Hoja3!$B$3:$B$1124)</f>
        <v>ATLÁNTICO</v>
      </c>
      <c r="D6" s="40" t="str">
        <f t="shared" si="1"/>
        <v>001</v>
      </c>
      <c r="E6" s="39" t="str">
        <f>+_xlfn.XLOOKUP(A6,Hoja3!$C$3:$C$1124,Hoja3!$D$3:$D$1124)</f>
        <v>BARRANQUILLA</v>
      </c>
      <c r="F6" s="41">
        <v>43896</v>
      </c>
    </row>
    <row r="7" spans="1:6" x14ac:dyDescent="0.25">
      <c r="A7" s="37" t="s">
        <v>159</v>
      </c>
      <c r="B7" s="38" t="str">
        <f t="shared" si="0"/>
        <v>11</v>
      </c>
      <c r="C7" s="39" t="str">
        <f>+_xlfn.XLOOKUP(A7,Hoja3!$C$3:$C$1124,Hoja3!$B$3:$B$1124)</f>
        <v>BOGOTÁ, D.C.</v>
      </c>
      <c r="D7" s="40" t="str">
        <f t="shared" si="1"/>
        <v>001</v>
      </c>
      <c r="E7" s="39" t="str">
        <f>+_xlfn.XLOOKUP(A7,Hoja3!$C$3:$C$1124,Hoja3!$D$3:$D$1124)</f>
        <v>BOGOTÁ, D.C.</v>
      </c>
      <c r="F7" s="41">
        <v>43888</v>
      </c>
    </row>
    <row r="8" spans="1:6" x14ac:dyDescent="0.25">
      <c r="A8" s="37" t="s">
        <v>348</v>
      </c>
      <c r="B8" s="38" t="str">
        <f t="shared" si="0"/>
        <v>13</v>
      </c>
      <c r="C8" s="39" t="str">
        <f>+_xlfn.XLOOKUP(A8,Hoja3!$C$3:$C$1124,Hoja3!$B$3:$B$1124)</f>
        <v>BOLÍVAR</v>
      </c>
      <c r="D8" s="40" t="str">
        <f t="shared" si="1"/>
        <v>001</v>
      </c>
      <c r="E8" s="39" t="str">
        <f>+_xlfn.XLOOKUP(A8,Hoja3!$C$3:$C$1124,Hoja3!$D$3:$D$1124)</f>
        <v>CARTAGENA DE INDIAS</v>
      </c>
      <c r="F8" s="41">
        <v>43891</v>
      </c>
    </row>
    <row r="9" spans="1:6" x14ac:dyDescent="0.25">
      <c r="A9" s="37" t="s">
        <v>205</v>
      </c>
      <c r="B9" s="38" t="str">
        <f t="shared" si="0"/>
        <v>15</v>
      </c>
      <c r="C9" s="39" t="str">
        <f>+_xlfn.XLOOKUP(A9,Hoja3!$C$3:$C$1124,Hoja3!$B$3:$B$1124)</f>
        <v>BOYACÁ</v>
      </c>
      <c r="D9" s="40" t="str">
        <f t="shared" si="1"/>
        <v>001</v>
      </c>
      <c r="E9" s="39" t="str">
        <f>+_xlfn.XLOOKUP(A9,Hoja3!$C$3:$C$1124,Hoja3!$D$3:$D$1124)</f>
        <v>TUNJA</v>
      </c>
      <c r="F9" s="41">
        <v>43908</v>
      </c>
    </row>
    <row r="10" spans="1:6" x14ac:dyDescent="0.25">
      <c r="A10" s="37" t="s">
        <v>306</v>
      </c>
      <c r="B10" s="38" t="str">
        <f t="shared" si="0"/>
        <v>17</v>
      </c>
      <c r="C10" s="39" t="str">
        <f>+_xlfn.XLOOKUP(A10,Hoja3!$C$3:$C$1124,Hoja3!$B$3:$B$1124)</f>
        <v>CALDAS</v>
      </c>
      <c r="D10" s="40" t="str">
        <f t="shared" si="1"/>
        <v>001</v>
      </c>
      <c r="E10" s="39" t="str">
        <f>+_xlfn.XLOOKUP(A10,Hoja3!$C$3:$C$1124,Hoja3!$D$3:$D$1124)</f>
        <v>MANIZALES</v>
      </c>
      <c r="F10" s="41">
        <v>43902</v>
      </c>
    </row>
    <row r="11" spans="1:6" x14ac:dyDescent="0.25">
      <c r="A11" s="37" t="s">
        <v>332</v>
      </c>
      <c r="B11" s="38" t="str">
        <f t="shared" si="0"/>
        <v>18</v>
      </c>
      <c r="C11" s="39" t="str">
        <f>+_xlfn.XLOOKUP(A11,Hoja3!$C$3:$C$1124,Hoja3!$B$3:$B$1124)</f>
        <v>CAQUETÁ</v>
      </c>
      <c r="D11" s="40" t="str">
        <f t="shared" si="1"/>
        <v>001</v>
      </c>
      <c r="E11" s="39" t="str">
        <f>+_xlfn.XLOOKUP(A11,Hoja3!$C$3:$C$1124,Hoja3!$D$3:$D$1124)</f>
        <v>FLORENCIA</v>
      </c>
      <c r="F11" s="41">
        <v>43915</v>
      </c>
    </row>
    <row r="12" spans="1:6" x14ac:dyDescent="0.25">
      <c r="A12" s="37" t="s">
        <v>349</v>
      </c>
      <c r="B12" s="38" t="str">
        <f t="shared" si="0"/>
        <v>85</v>
      </c>
      <c r="C12" s="39" t="str">
        <f>+_xlfn.XLOOKUP(A12,Hoja3!$C$3:$C$1124,Hoja3!$B$3:$B$1124)</f>
        <v>CASANARE</v>
      </c>
      <c r="D12" s="40" t="str">
        <f t="shared" si="1"/>
        <v>001</v>
      </c>
      <c r="E12" s="39" t="str">
        <f>+_xlfn.XLOOKUP(A12,Hoja3!$C$3:$C$1124,Hoja3!$D$3:$D$1124)</f>
        <v>YOPAL</v>
      </c>
      <c r="F12" s="41">
        <v>43907</v>
      </c>
    </row>
    <row r="13" spans="1:6" x14ac:dyDescent="0.25">
      <c r="A13" s="37" t="s">
        <v>363</v>
      </c>
      <c r="B13" s="38" t="str">
        <f t="shared" si="0"/>
        <v>19</v>
      </c>
      <c r="C13" s="39" t="str">
        <f>+_xlfn.XLOOKUP(A13,Hoja3!$C$3:$C$1124,Hoja3!$B$3:$B$1124)</f>
        <v>CAUCA</v>
      </c>
      <c r="D13" s="40" t="str">
        <f t="shared" si="1"/>
        <v>001</v>
      </c>
      <c r="E13" s="39" t="str">
        <f>+_xlfn.XLOOKUP(A13,Hoja3!$C$3:$C$1124,Hoja3!$D$3:$D$1124)</f>
        <v>POPAYÁN</v>
      </c>
      <c r="F13" s="41">
        <v>43899</v>
      </c>
    </row>
    <row r="14" spans="1:6" x14ac:dyDescent="0.25">
      <c r="A14" s="37" t="s">
        <v>401</v>
      </c>
      <c r="B14" s="38" t="str">
        <f t="shared" si="0"/>
        <v>20</v>
      </c>
      <c r="C14" s="39" t="str">
        <f>+_xlfn.XLOOKUP(A14,Hoja3!$C$3:$C$1124,Hoja3!$B$3:$B$1124)</f>
        <v>CESAR</v>
      </c>
      <c r="D14" s="40" t="str">
        <f t="shared" si="1"/>
        <v>001</v>
      </c>
      <c r="E14" s="39" t="str">
        <f>+_xlfn.XLOOKUP(A14,Hoja3!$C$3:$C$1124,Hoja3!$D$3:$D$1124)</f>
        <v>VALLEDUPAR</v>
      </c>
      <c r="F14" s="41">
        <v>43904</v>
      </c>
    </row>
    <row r="15" spans="1:6" x14ac:dyDescent="0.25">
      <c r="A15" s="37" t="s">
        <v>426</v>
      </c>
      <c r="B15" s="38" t="str">
        <f t="shared" si="0"/>
        <v>27</v>
      </c>
      <c r="C15" s="39" t="str">
        <f>+_xlfn.XLOOKUP(A15,Hoja3!$C$3:$C$1124,Hoja3!$B$3:$B$1124)</f>
        <v>CHOCÓ</v>
      </c>
      <c r="D15" s="40" t="str">
        <f t="shared" si="1"/>
        <v>001</v>
      </c>
      <c r="E15" s="39" t="str">
        <f>+_xlfn.XLOOKUP(A15,Hoja3!$C$3:$C$1124,Hoja3!$D$3:$D$1124)</f>
        <v>QUIBDÓ</v>
      </c>
      <c r="F15" s="41">
        <v>43913</v>
      </c>
    </row>
    <row r="16" spans="1:6" x14ac:dyDescent="0.25">
      <c r="A16" s="37" t="s">
        <v>452</v>
      </c>
      <c r="B16" s="38" t="str">
        <f t="shared" si="0"/>
        <v>23</v>
      </c>
      <c r="C16" s="39" t="str">
        <f>+_xlfn.XLOOKUP(A16,Hoja3!$C$3:$C$1124,Hoja3!$B$3:$B$1124)</f>
        <v>CÓRDOBA</v>
      </c>
      <c r="D16" s="40" t="str">
        <f t="shared" si="1"/>
        <v>001</v>
      </c>
      <c r="E16" s="39" t="str">
        <f>+_xlfn.XLOOKUP(A16,Hoja3!$C$3:$C$1124,Hoja3!$D$3:$D$1124)</f>
        <v>MONTERÍA</v>
      </c>
      <c r="F16" s="41">
        <v>43905</v>
      </c>
    </row>
    <row r="17" spans="1:6" x14ac:dyDescent="0.25">
      <c r="A17" s="37" t="s">
        <v>482</v>
      </c>
      <c r="B17" s="38" t="str">
        <f t="shared" si="0"/>
        <v>25</v>
      </c>
      <c r="C17" s="39" t="str">
        <f>+_xlfn.XLOOKUP(A17,Hoja3!$C$3:$C$1124,Hoja3!$B$3:$B$1124)</f>
        <v>CUNDINAMARCA</v>
      </c>
      <c r="D17" s="40" t="str">
        <f t="shared" si="1"/>
        <v>001</v>
      </c>
      <c r="E17" s="39" t="str">
        <f>+_xlfn.XLOOKUP(A17,Hoja3!$C$3:$C$1124,Hoja3!$D$3:$D$1124)</f>
        <v>AGUA DE DIOS</v>
      </c>
      <c r="F17" s="41">
        <v>43969</v>
      </c>
    </row>
    <row r="18" spans="1:6" x14ac:dyDescent="0.25">
      <c r="A18" s="37" t="s">
        <v>587</v>
      </c>
      <c r="B18" s="38" t="str">
        <f t="shared" si="0"/>
        <v>94</v>
      </c>
      <c r="C18" s="39" t="str">
        <f>+_xlfn.XLOOKUP(A18,Hoja3!$C$3:$C$1124,Hoja3!$B$3:$B$1124)</f>
        <v>GUAINÍA</v>
      </c>
      <c r="D18" s="40" t="str">
        <f t="shared" si="1"/>
        <v>001</v>
      </c>
      <c r="E18" s="39" t="str">
        <f>+_xlfn.XLOOKUP(A18,Hoja3!$C$3:$C$1124,Hoja3!$D$3:$D$1124)</f>
        <v>INÍRIDA</v>
      </c>
      <c r="F18" s="41">
        <v>43969</v>
      </c>
    </row>
    <row r="19" spans="1:6" x14ac:dyDescent="0.25">
      <c r="A19" s="37" t="s">
        <v>591</v>
      </c>
      <c r="B19" s="38" t="str">
        <f t="shared" si="0"/>
        <v>95</v>
      </c>
      <c r="C19" s="39" t="str">
        <f>+_xlfn.XLOOKUP(A19,Hoja3!$C$3:$C$1124,Hoja3!$B$3:$B$1124)</f>
        <v>GUAVIARE</v>
      </c>
      <c r="D19" s="40" t="str">
        <f t="shared" si="1"/>
        <v>001</v>
      </c>
      <c r="E19" s="39" t="str">
        <f>+_xlfn.XLOOKUP(A19,Hoja3!$C$3:$C$1124,Hoja3!$D$3:$D$1124)</f>
        <v>SAN JOSÉ DEL GUAVIARE</v>
      </c>
      <c r="F19" s="41">
        <v>43983</v>
      </c>
    </row>
    <row r="20" spans="1:6" x14ac:dyDescent="0.25">
      <c r="A20" s="37" t="s">
        <v>595</v>
      </c>
      <c r="B20" s="38" t="str">
        <f t="shared" si="0"/>
        <v>41</v>
      </c>
      <c r="C20" s="39" t="str">
        <f>+_xlfn.XLOOKUP(A20,Hoja3!$C$3:$C$1124,Hoja3!$B$3:$B$1124)</f>
        <v>HUILA</v>
      </c>
      <c r="D20" s="40" t="str">
        <f t="shared" si="1"/>
        <v>001</v>
      </c>
      <c r="E20" s="39" t="str">
        <f>+_xlfn.XLOOKUP(A20,Hoja3!$C$3:$C$1124,Hoja3!$D$3:$D$1124)</f>
        <v>NEIVA</v>
      </c>
      <c r="F20" s="41">
        <v>43896</v>
      </c>
    </row>
    <row r="21" spans="1:6" x14ac:dyDescent="0.25">
      <c r="A21" s="37" t="s">
        <v>632</v>
      </c>
      <c r="B21" s="38" t="str">
        <f t="shared" si="0"/>
        <v>44</v>
      </c>
      <c r="C21" s="39" t="str">
        <f>+_xlfn.XLOOKUP(A21,Hoja3!$C$3:$C$1124,Hoja3!$B$3:$B$1124)</f>
        <v>LA GUAJIRA</v>
      </c>
      <c r="D21" s="40" t="str">
        <f t="shared" si="1"/>
        <v>001</v>
      </c>
      <c r="E21" s="39" t="str">
        <f>+_xlfn.XLOOKUP(A21,Hoja3!$C$3:$C$1124,Hoja3!$D$3:$D$1124)</f>
        <v>RIOHACHA</v>
      </c>
      <c r="F21" s="41">
        <v>43904</v>
      </c>
    </row>
    <row r="22" spans="1:6" x14ac:dyDescent="0.25">
      <c r="A22" s="37" t="s">
        <v>842</v>
      </c>
      <c r="B22" s="38" t="str">
        <f t="shared" si="0"/>
        <v>47</v>
      </c>
      <c r="C22" s="39" t="str">
        <f>+_xlfn.XLOOKUP(A22,Hoja3!$C$3:$C$1124,Hoja3!$B$3:$B$1124)</f>
        <v>MAGDALENA</v>
      </c>
      <c r="D22" s="40" t="str">
        <f t="shared" si="1"/>
        <v>001</v>
      </c>
      <c r="E22" s="39" t="str">
        <f>+_xlfn.XLOOKUP(A22,Hoja3!$C$3:$C$1124,Hoja3!$D$3:$D$1124)</f>
        <v>SANTA MARTA</v>
      </c>
      <c r="F22" s="41">
        <v>43890</v>
      </c>
    </row>
    <row r="23" spans="1:6" x14ac:dyDescent="0.25">
      <c r="A23" s="37" t="s">
        <v>676</v>
      </c>
      <c r="B23" s="38" t="str">
        <f t="shared" si="0"/>
        <v>50</v>
      </c>
      <c r="C23" s="39" t="str">
        <f>+_xlfn.XLOOKUP(A23,Hoja3!$C$3:$C$1124,Hoja3!$B$3:$B$1124)</f>
        <v>META</v>
      </c>
      <c r="D23" s="40" t="str">
        <f t="shared" si="1"/>
        <v>001</v>
      </c>
      <c r="E23" s="39" t="str">
        <f>+_xlfn.XLOOKUP(A23,Hoja3!$C$3:$C$1124,Hoja3!$D$3:$D$1124)</f>
        <v>VILLAVICENCIO</v>
      </c>
      <c r="F23" s="41">
        <v>43899</v>
      </c>
    </row>
    <row r="24" spans="1:6" x14ac:dyDescent="0.25">
      <c r="A24" s="37" t="s">
        <v>702</v>
      </c>
      <c r="B24" s="38" t="str">
        <f t="shared" si="0"/>
        <v>52</v>
      </c>
      <c r="C24" s="39" t="str">
        <f>+_xlfn.XLOOKUP(A24,Hoja3!$C$3:$C$1124,Hoja3!$B$3:$B$1124)</f>
        <v>NARIÑO</v>
      </c>
      <c r="D24" s="40" t="str">
        <f t="shared" si="1"/>
        <v>001</v>
      </c>
      <c r="E24" s="39" t="str">
        <f>+_xlfn.XLOOKUP(A24,Hoja3!$C$3:$C$1124,Hoja3!$D$3:$D$1124)</f>
        <v>PASTO</v>
      </c>
      <c r="F24" s="41">
        <v>43905</v>
      </c>
    </row>
    <row r="25" spans="1:6" x14ac:dyDescent="0.25">
      <c r="A25" s="37" t="s">
        <v>764</v>
      </c>
      <c r="B25" s="38" t="str">
        <f t="shared" si="0"/>
        <v>54</v>
      </c>
      <c r="C25" s="39" t="str">
        <f>+_xlfn.XLOOKUP(A25,Hoja3!$C$3:$C$1124,Hoja3!$B$3:$B$1124)</f>
        <v>NORTE DE SANTANDER</v>
      </c>
      <c r="D25" s="40" t="str">
        <f t="shared" si="1"/>
        <v>001</v>
      </c>
      <c r="E25" s="39" t="str">
        <f>+_xlfn.XLOOKUP(A25,Hoja3!$C$3:$C$1124,Hoja3!$D$3:$D$1124)</f>
        <v>SAN JOSÉ DE CÚCUTA</v>
      </c>
      <c r="F25" s="41">
        <v>43901</v>
      </c>
    </row>
    <row r="26" spans="1:6" x14ac:dyDescent="0.25">
      <c r="A26" s="37" t="s">
        <v>804</v>
      </c>
      <c r="B26" s="38" t="str">
        <f t="shared" si="0"/>
        <v>86</v>
      </c>
      <c r="C26" s="39" t="str">
        <f>+_xlfn.XLOOKUP(A26,Hoja3!$C$3:$C$1124,Hoja3!$B$3:$B$1124)</f>
        <v>PUTUMAYO</v>
      </c>
      <c r="D26" s="40" t="str">
        <f t="shared" si="1"/>
        <v>001</v>
      </c>
      <c r="E26" s="39" t="str">
        <f>+_xlfn.XLOOKUP(A26,Hoja3!$C$3:$C$1124,Hoja3!$D$3:$D$1124)</f>
        <v>MOCOA</v>
      </c>
      <c r="F26" s="41">
        <v>43969</v>
      </c>
    </row>
    <row r="27" spans="1:6" x14ac:dyDescent="0.25">
      <c r="A27" s="37" t="s">
        <v>816</v>
      </c>
      <c r="B27" s="38" t="str">
        <f t="shared" si="0"/>
        <v>63</v>
      </c>
      <c r="C27" s="39" t="str">
        <f>+_xlfn.XLOOKUP(A27,Hoja3!$C$3:$C$1124,Hoja3!$B$3:$B$1124)</f>
        <v>QUINDÍO</v>
      </c>
      <c r="D27" s="40" t="str">
        <f t="shared" si="1"/>
        <v>001</v>
      </c>
      <c r="E27" s="39" t="str">
        <f>+_xlfn.XLOOKUP(A27,Hoja3!$C$3:$C$1124,Hoja3!$D$3:$D$1124)</f>
        <v>ARMENIA</v>
      </c>
      <c r="F27" s="41">
        <v>43898</v>
      </c>
    </row>
    <row r="28" spans="1:6" x14ac:dyDescent="0.25">
      <c r="A28" s="37" t="s">
        <v>828</v>
      </c>
      <c r="B28" s="38" t="str">
        <f t="shared" si="0"/>
        <v>66</v>
      </c>
      <c r="C28" s="39" t="str">
        <f>+_xlfn.XLOOKUP(A28,Hoja3!$C$3:$C$1124,Hoja3!$B$3:$B$1124)</f>
        <v>RISARALDA</v>
      </c>
      <c r="D28" s="40" t="str">
        <f t="shared" si="1"/>
        <v>001</v>
      </c>
      <c r="E28" s="39" t="str">
        <f>+_xlfn.XLOOKUP(A28,Hoja3!$C$3:$C$1124,Hoja3!$D$3:$D$1124)</f>
        <v>PEREIRA</v>
      </c>
      <c r="F28" s="41">
        <v>43894</v>
      </c>
    </row>
    <row r="29" spans="1:6" x14ac:dyDescent="0.25">
      <c r="A29" s="37" t="s">
        <v>843</v>
      </c>
      <c r="B29" s="38" t="str">
        <f t="shared" si="0"/>
        <v>68</v>
      </c>
      <c r="C29" s="39" t="str">
        <f>+_xlfn.XLOOKUP(A29,Hoja3!$C$3:$C$1124,Hoja3!$B$3:$B$1124)</f>
        <v>SANTANDER</v>
      </c>
      <c r="D29" s="40" t="str">
        <f t="shared" si="1"/>
        <v>001</v>
      </c>
      <c r="E29" s="39" t="str">
        <f>+_xlfn.XLOOKUP(A29,Hoja3!$C$3:$C$1124,Hoja3!$D$3:$D$1124)</f>
        <v>BUCARAMANGA</v>
      </c>
      <c r="F29" s="41">
        <v>43902</v>
      </c>
    </row>
    <row r="30" spans="1:6" x14ac:dyDescent="0.25">
      <c r="A30" s="37" t="s">
        <v>919</v>
      </c>
      <c r="B30" s="38" t="str">
        <f t="shared" si="0"/>
        <v>70</v>
      </c>
      <c r="C30" s="39" t="str">
        <f>+_xlfn.XLOOKUP(A30,Hoja3!$C$3:$C$1124,Hoja3!$B$3:$B$1124)</f>
        <v>SUCRE</v>
      </c>
      <c r="D30" s="40" t="str">
        <f t="shared" si="1"/>
        <v>001</v>
      </c>
      <c r="E30" s="39" t="str">
        <f>+_xlfn.XLOOKUP(A30,Hoja3!$C$3:$C$1124,Hoja3!$D$3:$D$1124)</f>
        <v>SINCELEJO</v>
      </c>
      <c r="F30" s="41">
        <v>43910</v>
      </c>
    </row>
    <row r="31" spans="1:6" x14ac:dyDescent="0.25">
      <c r="A31" s="37" t="s">
        <v>945</v>
      </c>
      <c r="B31" s="38" t="str">
        <f t="shared" si="0"/>
        <v>73</v>
      </c>
      <c r="C31" s="39" t="str">
        <f>+_xlfn.XLOOKUP(A31,Hoja3!$C$3:$C$1124,Hoja3!$B$3:$B$1124)</f>
        <v>TOLIMA</v>
      </c>
      <c r="D31" s="40" t="str">
        <f t="shared" si="1"/>
        <v>001</v>
      </c>
      <c r="E31" s="39" t="str">
        <f>+_xlfn.XLOOKUP(A31,Hoja3!$C$3:$C$1124,Hoja3!$D$3:$D$1124)</f>
        <v>IBAGUÉ</v>
      </c>
      <c r="F31" s="41">
        <v>43900</v>
      </c>
    </row>
    <row r="32" spans="1:6" x14ac:dyDescent="0.25">
      <c r="A32" s="37" t="s">
        <v>988</v>
      </c>
      <c r="B32" s="38" t="str">
        <f t="shared" si="0"/>
        <v>76</v>
      </c>
      <c r="C32" s="39" t="str">
        <f>+_xlfn.XLOOKUP(A32,Hoja3!$C$3:$C$1124,Hoja3!$B$3:$B$1124)</f>
        <v>VALLE DEL CAUCA</v>
      </c>
      <c r="D32" s="40" t="str">
        <f t="shared" si="1"/>
        <v>001</v>
      </c>
      <c r="E32" s="39" t="str">
        <f>+_xlfn.XLOOKUP(A32,Hoja3!$C$3:$C$1124,Hoja3!$D$3:$D$1124)</f>
        <v>SANTIAGO DE CALI</v>
      </c>
      <c r="F32" s="41">
        <v>43892</v>
      </c>
    </row>
    <row r="33" spans="1:6" x14ac:dyDescent="0.25">
      <c r="A33" s="37" t="s">
        <v>1028</v>
      </c>
      <c r="B33" s="38" t="str">
        <f t="shared" si="0"/>
        <v>97</v>
      </c>
      <c r="C33" s="39" t="str">
        <f>+_xlfn.XLOOKUP(A33,Hoja3!$C$3:$C$1124,Hoja3!$B$3:$B$1124)</f>
        <v>VAUPÉS</v>
      </c>
      <c r="D33" s="40" t="str">
        <f t="shared" si="1"/>
        <v>001</v>
      </c>
      <c r="E33" s="39" t="str">
        <f>+_xlfn.XLOOKUP(A33,Hoja3!$C$3:$C$1124,Hoja3!$D$3:$D$1124)</f>
        <v>MITÚ</v>
      </c>
      <c r="F33" s="41">
        <v>43958</v>
      </c>
    </row>
    <row r="34" spans="1:6" x14ac:dyDescent="0.25">
      <c r="A34" s="37" t="s">
        <v>1032</v>
      </c>
      <c r="B34" s="38" t="str">
        <f t="shared" si="0"/>
        <v>99</v>
      </c>
      <c r="C34" s="39" t="str">
        <f>+_xlfn.XLOOKUP(A34,Hoja3!$C$3:$C$1124,Hoja3!$B$3:$B$1124)</f>
        <v>VICHADA</v>
      </c>
      <c r="D34" s="40" t="str">
        <f t="shared" si="1"/>
        <v>001</v>
      </c>
      <c r="E34" s="39" t="str">
        <f>+_xlfn.XLOOKUP(A34,Hoja3!$C$3:$C$1124,Hoja3!$D$3:$D$1124)</f>
        <v>PUERTO CARREÑO</v>
      </c>
      <c r="F34" s="41">
        <v>43980</v>
      </c>
    </row>
    <row r="35" spans="1:6" x14ac:dyDescent="0.25">
      <c r="A35" s="37" t="s">
        <v>7</v>
      </c>
      <c r="B35" s="38" t="str">
        <f t="shared" si="0"/>
        <v>05</v>
      </c>
      <c r="C35" s="39" t="str">
        <f>+_xlfn.XLOOKUP(A35,Hoja3!$C$3:$C$1124,Hoja3!$B$3:$B$1124)</f>
        <v>ANTIOQUIA</v>
      </c>
      <c r="D35" s="40" t="str">
        <f t="shared" si="1"/>
        <v>002</v>
      </c>
      <c r="E35" s="39" t="str">
        <f>+_xlfn.XLOOKUP(A35,Hoja3!$C$3:$C$1124,Hoja3!$D$3:$D$1124)</f>
        <v>ABEJORRAL</v>
      </c>
      <c r="F35" s="41">
        <v>44017</v>
      </c>
    </row>
    <row r="36" spans="1:6" x14ac:dyDescent="0.25">
      <c r="A36" s="37" t="s">
        <v>765</v>
      </c>
      <c r="B36" s="38" t="str">
        <f t="shared" si="0"/>
        <v>54</v>
      </c>
      <c r="C36" s="39" t="str">
        <f>+_xlfn.XLOOKUP(A36,Hoja3!$C$3:$C$1124,Hoja3!$B$3:$B$1124)</f>
        <v>NORTE DE SANTANDER</v>
      </c>
      <c r="D36" s="40" t="str">
        <f t="shared" si="1"/>
        <v>003</v>
      </c>
      <c r="E36" s="39" t="str">
        <f>+_xlfn.XLOOKUP(A36,Hoja3!$C$3:$C$1124,Hoja3!$D$3:$D$1124)</f>
        <v>ÁBREGO</v>
      </c>
      <c r="F36" s="41">
        <v>43944</v>
      </c>
    </row>
    <row r="37" spans="1:6" x14ac:dyDescent="0.25">
      <c r="A37" s="37" t="s">
        <v>8</v>
      </c>
      <c r="B37" s="38" t="str">
        <f t="shared" si="0"/>
        <v>05</v>
      </c>
      <c r="C37" s="39" t="str">
        <f>+_xlfn.XLOOKUP(A37,Hoja3!$C$3:$C$1124,Hoja3!$B$3:$B$1124)</f>
        <v>ANTIOQUIA</v>
      </c>
      <c r="D37" s="40" t="str">
        <f t="shared" si="1"/>
        <v>004</v>
      </c>
      <c r="E37" s="39" t="str">
        <f>+_xlfn.XLOOKUP(A37,Hoja3!$C$3:$C$1124,Hoja3!$D$3:$D$1124)</f>
        <v>ABRIAQUÍ</v>
      </c>
      <c r="F37" s="41">
        <v>44018</v>
      </c>
    </row>
    <row r="38" spans="1:6" x14ac:dyDescent="0.25">
      <c r="A38" s="37" t="s">
        <v>160</v>
      </c>
      <c r="B38" s="38" t="str">
        <f t="shared" si="0"/>
        <v>13</v>
      </c>
      <c r="C38" s="39" t="str">
        <f>+_xlfn.XLOOKUP(A38,Hoja3!$C$3:$C$1124,Hoja3!$B$3:$B$1124)</f>
        <v>BOLÍVAR</v>
      </c>
      <c r="D38" s="40" t="str">
        <f t="shared" si="1"/>
        <v>006</v>
      </c>
      <c r="E38" s="39" t="str">
        <f>+_xlfn.XLOOKUP(A38,Hoja3!$C$3:$C$1124,Hoja3!$D$3:$D$1124)</f>
        <v>ACHÍ</v>
      </c>
      <c r="F38" s="41">
        <v>43997</v>
      </c>
    </row>
    <row r="39" spans="1:6" x14ac:dyDescent="0.25">
      <c r="A39" s="37" t="s">
        <v>427</v>
      </c>
      <c r="B39" s="38" t="str">
        <f t="shared" si="0"/>
        <v>27</v>
      </c>
      <c r="C39" s="39" t="str">
        <f>+_xlfn.XLOOKUP(A39,Hoja3!$C$3:$C$1124,Hoja3!$B$3:$B$1124)</f>
        <v>CHOCÓ</v>
      </c>
      <c r="D39" s="40" t="str">
        <f t="shared" si="1"/>
        <v>006</v>
      </c>
      <c r="E39" s="39" t="str">
        <f>+_xlfn.XLOOKUP(A39,Hoja3!$C$3:$C$1124,Hoja3!$D$3:$D$1124)</f>
        <v>ACANDÍ</v>
      </c>
      <c r="F39" s="41">
        <v>44004</v>
      </c>
    </row>
    <row r="40" spans="1:6" x14ac:dyDescent="0.25">
      <c r="A40" s="37" t="s">
        <v>596</v>
      </c>
      <c r="B40" s="38" t="str">
        <f t="shared" si="0"/>
        <v>41</v>
      </c>
      <c r="C40" s="39" t="str">
        <f>+_xlfn.XLOOKUP(A40,Hoja3!$C$3:$C$1124,Hoja3!$B$3:$B$1124)</f>
        <v>HUILA</v>
      </c>
      <c r="D40" s="40" t="str">
        <f t="shared" si="1"/>
        <v>006</v>
      </c>
      <c r="E40" s="39" t="str">
        <f>+_xlfn.XLOOKUP(A40,Hoja3!$C$3:$C$1124,Hoja3!$D$3:$D$1124)</f>
        <v>ACEVEDO</v>
      </c>
      <c r="F40" s="41">
        <v>43934</v>
      </c>
    </row>
    <row r="41" spans="1:6" x14ac:dyDescent="0.25">
      <c r="A41" s="37" t="s">
        <v>677</v>
      </c>
      <c r="B41" s="38" t="str">
        <f t="shared" si="0"/>
        <v>50</v>
      </c>
      <c r="C41" s="39" t="str">
        <f>+_xlfn.XLOOKUP(A41,Hoja3!$C$3:$C$1124,Hoja3!$B$3:$B$1124)</f>
        <v>META</v>
      </c>
      <c r="D41" s="40" t="str">
        <f t="shared" si="1"/>
        <v>006</v>
      </c>
      <c r="E41" s="39" t="str">
        <f>+_xlfn.XLOOKUP(A41,Hoja3!$C$3:$C$1124,Hoja3!$D$3:$D$1124)</f>
        <v>ACACÍAS</v>
      </c>
      <c r="F41" s="41">
        <v>43919</v>
      </c>
    </row>
    <row r="42" spans="1:6" x14ac:dyDescent="0.25">
      <c r="A42" s="37" t="s">
        <v>350</v>
      </c>
      <c r="B42" s="38" t="str">
        <f t="shared" si="0"/>
        <v>85</v>
      </c>
      <c r="C42" s="39" t="str">
        <f>+_xlfn.XLOOKUP(A42,Hoja3!$C$3:$C$1124,Hoja3!$B$3:$B$1124)</f>
        <v>CASANARE</v>
      </c>
      <c r="D42" s="40" t="str">
        <f t="shared" si="1"/>
        <v>010</v>
      </c>
      <c r="E42" s="39" t="str">
        <f>+_xlfn.XLOOKUP(A42,Hoja3!$C$3:$C$1124,Hoja3!$D$3:$D$1124)</f>
        <v>AGUAZUL</v>
      </c>
      <c r="F42" s="41">
        <v>43991</v>
      </c>
    </row>
    <row r="43" spans="1:6" x14ac:dyDescent="0.25">
      <c r="A43" s="37" t="s">
        <v>402</v>
      </c>
      <c r="B43" s="38" t="str">
        <f t="shared" si="0"/>
        <v>20</v>
      </c>
      <c r="C43" s="39" t="str">
        <f>+_xlfn.XLOOKUP(A43,Hoja3!$C$3:$C$1124,Hoja3!$B$3:$B$1124)</f>
        <v>CESAR</v>
      </c>
      <c r="D43" s="40" t="str">
        <f t="shared" si="1"/>
        <v>011</v>
      </c>
      <c r="E43" s="39" t="str">
        <f>+_xlfn.XLOOKUP(A43,Hoja3!$C$3:$C$1124,Hoja3!$D$3:$D$1124)</f>
        <v>AGUACHICA</v>
      </c>
      <c r="F43" s="41">
        <v>43926</v>
      </c>
    </row>
    <row r="44" spans="1:6" x14ac:dyDescent="0.25">
      <c r="A44" s="37" t="s">
        <v>307</v>
      </c>
      <c r="B44" s="38" t="str">
        <f t="shared" si="0"/>
        <v>17</v>
      </c>
      <c r="C44" s="39" t="str">
        <f>+_xlfn.XLOOKUP(A44,Hoja3!$C$3:$C$1124,Hoja3!$B$3:$B$1124)</f>
        <v>CALDAS</v>
      </c>
      <c r="D44" s="40" t="str">
        <f t="shared" si="1"/>
        <v>013</v>
      </c>
      <c r="E44" s="39" t="str">
        <f>+_xlfn.XLOOKUP(A44,Hoja3!$C$3:$C$1124,Hoja3!$D$3:$D$1124)</f>
        <v>AGUADAS</v>
      </c>
      <c r="F44" s="41">
        <v>43952</v>
      </c>
    </row>
    <row r="45" spans="1:6" x14ac:dyDescent="0.25">
      <c r="A45" s="37" t="s">
        <v>403</v>
      </c>
      <c r="B45" s="38" t="str">
        <f t="shared" si="0"/>
        <v>20</v>
      </c>
      <c r="C45" s="39" t="str">
        <f>+_xlfn.XLOOKUP(A45,Hoja3!$C$3:$C$1124,Hoja3!$B$3:$B$1124)</f>
        <v>CESAR</v>
      </c>
      <c r="D45" s="40" t="str">
        <f t="shared" si="1"/>
        <v>013</v>
      </c>
      <c r="E45" s="39" t="str">
        <f>+_xlfn.XLOOKUP(A45,Hoja3!$C$3:$C$1124,Hoja3!$D$3:$D$1124)</f>
        <v>AGUSTÍN CODAZZI</v>
      </c>
      <c r="F45" s="41">
        <v>43929</v>
      </c>
    </row>
    <row r="46" spans="1:6" x14ac:dyDescent="0.25">
      <c r="A46" s="37" t="s">
        <v>597</v>
      </c>
      <c r="B46" s="38" t="str">
        <f t="shared" si="0"/>
        <v>41</v>
      </c>
      <c r="C46" s="39" t="str">
        <f>+_xlfn.XLOOKUP(A46,Hoja3!$C$3:$C$1124,Hoja3!$B$3:$B$1124)</f>
        <v>HUILA</v>
      </c>
      <c r="D46" s="40" t="str">
        <f t="shared" si="1"/>
        <v>013</v>
      </c>
      <c r="E46" s="39" t="str">
        <f>+_xlfn.XLOOKUP(A46,Hoja3!$C$3:$C$1124,Hoja3!$D$3:$D$1124)</f>
        <v>AGRADO</v>
      </c>
      <c r="F46" s="41">
        <v>43916</v>
      </c>
    </row>
    <row r="47" spans="1:6" x14ac:dyDescent="0.25">
      <c r="A47" s="37" t="s">
        <v>844</v>
      </c>
      <c r="B47" s="38" t="str">
        <f t="shared" si="0"/>
        <v>68</v>
      </c>
      <c r="C47" s="39" t="str">
        <f>+_xlfn.XLOOKUP(A47,Hoja3!$C$3:$C$1124,Hoja3!$B$3:$B$1124)</f>
        <v>SANTANDER</v>
      </c>
      <c r="D47" s="40" t="str">
        <f t="shared" si="1"/>
        <v>013</v>
      </c>
      <c r="E47" s="39" t="str">
        <f>+_xlfn.XLOOKUP(A47,Hoja3!$C$3:$C$1124,Hoja3!$D$3:$D$1124)</f>
        <v>AGUADA</v>
      </c>
      <c r="F47" s="41">
        <v>44017</v>
      </c>
    </row>
    <row r="48" spans="1:6" x14ac:dyDescent="0.25">
      <c r="A48" s="37" t="s">
        <v>592</v>
      </c>
      <c r="B48" s="38" t="str">
        <f t="shared" si="0"/>
        <v>95</v>
      </c>
      <c r="C48" s="39" t="str">
        <f>+_xlfn.XLOOKUP(A48,Hoja3!$C$3:$C$1124,Hoja3!$B$3:$B$1124)</f>
        <v>GUAVIARE</v>
      </c>
      <c r="D48" s="40" t="str">
        <f t="shared" si="1"/>
        <v>015</v>
      </c>
      <c r="E48" s="39" t="str">
        <f>+_xlfn.XLOOKUP(A48,Hoja3!$C$3:$C$1124,Hoja3!$D$3:$D$1124)</f>
        <v>CALAMAR</v>
      </c>
      <c r="F48" s="41">
        <v>44039</v>
      </c>
    </row>
    <row r="49" spans="1:6" x14ac:dyDescent="0.25">
      <c r="A49" s="38" t="s">
        <v>2083</v>
      </c>
      <c r="B49" s="38" t="str">
        <f t="shared" si="0"/>
        <v>85</v>
      </c>
      <c r="C49" s="39" t="str">
        <f>+_xlfn.XLOOKUP(A49,Hoja3!$C$3:$C$1124,Hoja3!$B$3:$B$1124)</f>
        <v>CASANARE</v>
      </c>
      <c r="D49" s="40" t="str">
        <f t="shared" si="1"/>
        <v>015</v>
      </c>
      <c r="E49" s="39" t="str">
        <f>+_xlfn.XLOOKUP(A49,Hoja3!$C$3:$C$1124,Hoja3!$D$3:$D$1124)</f>
        <v>CHÁMEZA</v>
      </c>
      <c r="F49" s="42">
        <v>45658</v>
      </c>
    </row>
    <row r="50" spans="1:6" x14ac:dyDescent="0.25">
      <c r="A50" s="37" t="s">
        <v>598</v>
      </c>
      <c r="B50" s="38" t="str">
        <f t="shared" si="0"/>
        <v>41</v>
      </c>
      <c r="C50" s="39" t="str">
        <f>+_xlfn.XLOOKUP(A50,Hoja3!$C$3:$C$1124,Hoja3!$B$3:$B$1124)</f>
        <v>HUILA</v>
      </c>
      <c r="D50" s="40" t="str">
        <f t="shared" si="1"/>
        <v>016</v>
      </c>
      <c r="E50" s="39" t="str">
        <f>+_xlfn.XLOOKUP(A50,Hoja3!$C$3:$C$1124,Hoja3!$D$3:$D$1124)</f>
        <v>AIPE</v>
      </c>
      <c r="F50" s="41">
        <v>43934</v>
      </c>
    </row>
    <row r="51" spans="1:6" x14ac:dyDescent="0.25">
      <c r="A51" s="37" t="s">
        <v>483</v>
      </c>
      <c r="B51" s="38" t="str">
        <f t="shared" si="0"/>
        <v>25</v>
      </c>
      <c r="C51" s="39" t="str">
        <f>+_xlfn.XLOOKUP(A51,Hoja3!$C$3:$C$1124,Hoja3!$B$3:$B$1124)</f>
        <v>CUNDINAMARCA</v>
      </c>
      <c r="D51" s="40" t="str">
        <f t="shared" si="1"/>
        <v>019</v>
      </c>
      <c r="E51" s="39" t="str">
        <f>+_xlfn.XLOOKUP(A51,Hoja3!$C$3:$C$1124,Hoja3!$D$3:$D$1124)</f>
        <v>ALBÁN</v>
      </c>
      <c r="F51" s="41">
        <v>43981</v>
      </c>
    </row>
    <row r="52" spans="1:6" x14ac:dyDescent="0.25">
      <c r="A52" s="37" t="s">
        <v>703</v>
      </c>
      <c r="B52" s="38" t="str">
        <f t="shared" si="0"/>
        <v>52</v>
      </c>
      <c r="C52" s="39" t="str">
        <f>+_xlfn.XLOOKUP(A52,Hoja3!$C$3:$C$1124,Hoja3!$B$3:$B$1124)</f>
        <v>NARIÑO</v>
      </c>
      <c r="D52" s="40" t="str">
        <f t="shared" si="1"/>
        <v>019</v>
      </c>
      <c r="E52" s="39" t="str">
        <f>+_xlfn.XLOOKUP(A52,Hoja3!$C$3:$C$1124,Hoja3!$D$3:$D$1124)</f>
        <v>ALBÁN</v>
      </c>
      <c r="F52" s="41">
        <v>43991</v>
      </c>
    </row>
    <row r="53" spans="1:6" x14ac:dyDescent="0.25">
      <c r="A53" s="37" t="s">
        <v>599</v>
      </c>
      <c r="B53" s="38" t="str">
        <f t="shared" si="0"/>
        <v>41</v>
      </c>
      <c r="C53" s="39" t="str">
        <f>+_xlfn.XLOOKUP(A53,Hoja3!$C$3:$C$1124,Hoja3!$B$3:$B$1124)</f>
        <v>HUILA</v>
      </c>
      <c r="D53" s="40" t="str">
        <f t="shared" si="1"/>
        <v>020</v>
      </c>
      <c r="E53" s="39" t="str">
        <f>+_xlfn.XLOOKUP(A53,Hoja3!$C$3:$C$1124,Hoja3!$D$3:$D$1124)</f>
        <v>ALGECIRAS</v>
      </c>
      <c r="F53" s="41">
        <v>43944</v>
      </c>
    </row>
    <row r="54" spans="1:6" x14ac:dyDescent="0.25">
      <c r="A54" s="37" t="s">
        <v>845</v>
      </c>
      <c r="B54" s="38" t="str">
        <f t="shared" si="0"/>
        <v>68</v>
      </c>
      <c r="C54" s="39" t="str">
        <f>+_xlfn.XLOOKUP(A54,Hoja3!$C$3:$C$1124,Hoja3!$B$3:$B$1124)</f>
        <v>SANTANDER</v>
      </c>
      <c r="D54" s="40" t="str">
        <f t="shared" si="1"/>
        <v>020</v>
      </c>
      <c r="E54" s="39" t="str">
        <f>+_xlfn.XLOOKUP(A54,Hoja3!$C$3:$C$1124,Hoja3!$D$3:$D$1124)</f>
        <v>ALBANIA</v>
      </c>
      <c r="F54" s="41">
        <v>44084</v>
      </c>
    </row>
    <row r="55" spans="1:6" x14ac:dyDescent="0.25">
      <c r="A55" s="37" t="s">
        <v>989</v>
      </c>
      <c r="B55" s="38" t="str">
        <f t="shared" si="0"/>
        <v>76</v>
      </c>
      <c r="C55" s="39" t="str">
        <f>+_xlfn.XLOOKUP(A55,Hoja3!$C$3:$C$1124,Hoja3!$B$3:$B$1124)</f>
        <v>VALLE DEL CAUCA</v>
      </c>
      <c r="D55" s="40" t="str">
        <f t="shared" si="1"/>
        <v>020</v>
      </c>
      <c r="E55" s="39" t="str">
        <f>+_xlfn.XLOOKUP(A55,Hoja3!$C$3:$C$1124,Hoja3!$D$3:$D$1124)</f>
        <v>ALCALÁ</v>
      </c>
      <c r="F55" s="41">
        <v>43943</v>
      </c>
    </row>
    <row r="56" spans="1:6" x14ac:dyDescent="0.25">
      <c r="A56" s="37" t="s">
        <v>9</v>
      </c>
      <c r="B56" s="38" t="str">
        <f t="shared" si="0"/>
        <v>05</v>
      </c>
      <c r="C56" s="39" t="str">
        <f>+_xlfn.XLOOKUP(A56,Hoja3!$C$3:$C$1124,Hoja3!$B$3:$B$1124)</f>
        <v>ANTIOQUIA</v>
      </c>
      <c r="D56" s="40" t="str">
        <f t="shared" si="1"/>
        <v>021</v>
      </c>
      <c r="E56" s="39" t="str">
        <f>+_xlfn.XLOOKUP(A56,Hoja3!$C$3:$C$1124,Hoja3!$D$3:$D$1124)</f>
        <v>ALEJANDRÍA</v>
      </c>
      <c r="F56" s="41">
        <v>44038</v>
      </c>
    </row>
    <row r="57" spans="1:6" x14ac:dyDescent="0.25">
      <c r="A57" s="37" t="s">
        <v>704</v>
      </c>
      <c r="B57" s="38" t="str">
        <f t="shared" si="0"/>
        <v>52</v>
      </c>
      <c r="C57" s="39" t="str">
        <f>+_xlfn.XLOOKUP(A57,Hoja3!$C$3:$C$1124,Hoja3!$B$3:$B$1124)</f>
        <v>NARIÑO</v>
      </c>
      <c r="D57" s="40" t="str">
        <f t="shared" si="1"/>
        <v>022</v>
      </c>
      <c r="E57" s="39" t="str">
        <f>+_xlfn.XLOOKUP(A57,Hoja3!$C$3:$C$1124,Hoja3!$D$3:$D$1124)</f>
        <v>ALDANA</v>
      </c>
      <c r="F57" s="41">
        <v>43975</v>
      </c>
    </row>
    <row r="58" spans="1:6" x14ac:dyDescent="0.25">
      <c r="A58" s="38" t="s">
        <v>2074</v>
      </c>
      <c r="B58" s="38" t="str">
        <f t="shared" si="0"/>
        <v>15</v>
      </c>
      <c r="C58" s="39" t="str">
        <f>+_xlfn.XLOOKUP(A58,Hoja3!$C$3:$C$1124,Hoja3!$B$3:$B$1124)</f>
        <v>BOYACÁ</v>
      </c>
      <c r="D58" s="40" t="str">
        <f t="shared" si="1"/>
        <v>022</v>
      </c>
      <c r="E58" s="39" t="str">
        <f>+_xlfn.XLOOKUP(A58,Hoja3!$C$3:$C$1124,Hoja3!$D$3:$D$1124)</f>
        <v>ALMEIDA</v>
      </c>
      <c r="F58" s="42">
        <v>45658</v>
      </c>
    </row>
    <row r="59" spans="1:6" x14ac:dyDescent="0.25">
      <c r="A59" s="38" t="s">
        <v>2114</v>
      </c>
      <c r="B59" s="38" t="str">
        <f t="shared" si="0"/>
        <v>19</v>
      </c>
      <c r="C59" s="39" t="str">
        <f>+_xlfn.XLOOKUP(A59,Hoja3!$C$3:$C$1124,Hoja3!$B$3:$B$1124)</f>
        <v>CAUCA</v>
      </c>
      <c r="D59" s="40" t="str">
        <f t="shared" si="1"/>
        <v>022</v>
      </c>
      <c r="E59" s="39" t="str">
        <f>+_xlfn.XLOOKUP(A59,Hoja3!$C$3:$C$1124,Hoja3!$D$3:$D$1124)</f>
        <v>ALMAGUER</v>
      </c>
      <c r="F59" s="42">
        <v>45658</v>
      </c>
    </row>
    <row r="60" spans="1:6" x14ac:dyDescent="0.25">
      <c r="A60" s="37" t="s">
        <v>946</v>
      </c>
      <c r="B60" s="38" t="str">
        <f t="shared" si="0"/>
        <v>73</v>
      </c>
      <c r="C60" s="39" t="str">
        <f>+_xlfn.XLOOKUP(A60,Hoja3!$C$3:$C$1124,Hoja3!$B$3:$B$1124)</f>
        <v>TOLIMA</v>
      </c>
      <c r="D60" s="40" t="str">
        <f t="shared" si="1"/>
        <v>024</v>
      </c>
      <c r="E60" s="39" t="str">
        <f>+_xlfn.XLOOKUP(A60,Hoja3!$C$3:$C$1124,Hoja3!$D$3:$D$1124)</f>
        <v>ALPUJARRA</v>
      </c>
      <c r="F60" s="41">
        <v>44016</v>
      </c>
    </row>
    <row r="61" spans="1:6" x14ac:dyDescent="0.25">
      <c r="A61" s="37" t="s">
        <v>428</v>
      </c>
      <c r="B61" s="38" t="str">
        <f t="shared" si="0"/>
        <v>27</v>
      </c>
      <c r="C61" s="39" t="str">
        <f>+_xlfn.XLOOKUP(A61,Hoja3!$C$3:$C$1124,Hoja3!$B$3:$B$1124)</f>
        <v>CHOCÓ</v>
      </c>
      <c r="D61" s="40" t="str">
        <f t="shared" si="1"/>
        <v>025</v>
      </c>
      <c r="E61" s="39" t="str">
        <f>+_xlfn.XLOOKUP(A61,Hoja3!$C$3:$C$1124,Hoja3!$D$3:$D$1124)</f>
        <v>ALTO BAUDÓ</v>
      </c>
      <c r="F61" s="41">
        <v>43977</v>
      </c>
    </row>
    <row r="62" spans="1:6" x14ac:dyDescent="0.25">
      <c r="A62" s="37" t="s">
        <v>593</v>
      </c>
      <c r="B62" s="38" t="str">
        <f t="shared" si="0"/>
        <v>95</v>
      </c>
      <c r="C62" s="39" t="str">
        <f>+_xlfn.XLOOKUP(A62,Hoja3!$C$3:$C$1124,Hoja3!$B$3:$B$1124)</f>
        <v>GUAVIARE</v>
      </c>
      <c r="D62" s="40" t="str">
        <f t="shared" si="1"/>
        <v>025</v>
      </c>
      <c r="E62" s="39" t="str">
        <f>+_xlfn.XLOOKUP(A62,Hoja3!$C$3:$C$1124,Hoja3!$D$3:$D$1124)</f>
        <v>EL RETORNO</v>
      </c>
      <c r="F62" s="41">
        <v>44051</v>
      </c>
    </row>
    <row r="63" spans="1:6" x14ac:dyDescent="0.25">
      <c r="A63" s="37" t="s">
        <v>600</v>
      </c>
      <c r="B63" s="38" t="str">
        <f t="shared" si="0"/>
        <v>41</v>
      </c>
      <c r="C63" s="39" t="str">
        <f>+_xlfn.XLOOKUP(A63,Hoja3!$C$3:$C$1124,Hoja3!$B$3:$B$1124)</f>
        <v>HUILA</v>
      </c>
      <c r="D63" s="40" t="str">
        <f t="shared" si="1"/>
        <v>026</v>
      </c>
      <c r="E63" s="39" t="str">
        <f>+_xlfn.XLOOKUP(A63,Hoja3!$C$3:$C$1124,Hoja3!$D$3:$D$1124)</f>
        <v>ALTAMIRA</v>
      </c>
      <c r="F63" s="41">
        <v>44020</v>
      </c>
    </row>
    <row r="64" spans="1:6" x14ac:dyDescent="0.25">
      <c r="A64" s="37" t="s">
        <v>947</v>
      </c>
      <c r="B64" s="38" t="str">
        <f t="shared" si="0"/>
        <v>73</v>
      </c>
      <c r="C64" s="39" t="str">
        <f>+_xlfn.XLOOKUP(A64,Hoja3!$C$3:$C$1124,Hoja3!$B$3:$B$1124)</f>
        <v>TOLIMA</v>
      </c>
      <c r="D64" s="40" t="str">
        <f t="shared" si="1"/>
        <v>026</v>
      </c>
      <c r="E64" s="39" t="str">
        <f>+_xlfn.XLOOKUP(A64,Hoja3!$C$3:$C$1124,Hoja3!$D$3:$D$1124)</f>
        <v>ALVARADO</v>
      </c>
      <c r="F64" s="41">
        <v>44039</v>
      </c>
    </row>
    <row r="65" spans="1:6" x14ac:dyDescent="0.25">
      <c r="A65" s="37" t="s">
        <v>333</v>
      </c>
      <c r="B65" s="38" t="str">
        <f t="shared" si="0"/>
        <v>18</v>
      </c>
      <c r="C65" s="39" t="str">
        <f>+_xlfn.XLOOKUP(A65,Hoja3!$C$3:$C$1124,Hoja3!$B$3:$B$1124)</f>
        <v>CAQUETÁ</v>
      </c>
      <c r="D65" s="40" t="str">
        <f t="shared" si="1"/>
        <v>029</v>
      </c>
      <c r="E65" s="39" t="str">
        <f>+_xlfn.XLOOKUP(A65,Hoja3!$C$3:$C$1124,Hoja3!$D$3:$D$1124)</f>
        <v>ALBANIA</v>
      </c>
      <c r="F65" s="41">
        <v>44003</v>
      </c>
    </row>
    <row r="66" spans="1:6" x14ac:dyDescent="0.25">
      <c r="A66" s="37" t="s">
        <v>10</v>
      </c>
      <c r="B66" s="38" t="str">
        <f t="shared" ref="B66:B129" si="2">MID(A66,1,2)</f>
        <v>05</v>
      </c>
      <c r="C66" s="39" t="str">
        <f>+_xlfn.XLOOKUP(A66,Hoja3!$C$3:$C$1124,Hoja3!$B$3:$B$1124)</f>
        <v>ANTIOQUIA</v>
      </c>
      <c r="D66" s="40" t="str">
        <f t="shared" ref="D66:D129" si="3">MID(A66,3,3)</f>
        <v>030</v>
      </c>
      <c r="E66" s="39" t="str">
        <f>+_xlfn.XLOOKUP(A66,Hoja3!$C$3:$C$1124,Hoja3!$D$3:$D$1124)</f>
        <v>AMAGÁ</v>
      </c>
      <c r="F66" s="41">
        <v>43930</v>
      </c>
    </row>
    <row r="67" spans="1:6" x14ac:dyDescent="0.25">
      <c r="A67" s="37" t="s">
        <v>161</v>
      </c>
      <c r="B67" s="38" t="str">
        <f t="shared" si="2"/>
        <v>13</v>
      </c>
      <c r="C67" s="39" t="str">
        <f>+_xlfn.XLOOKUP(A67,Hoja3!$C$3:$C$1124,Hoja3!$B$3:$B$1124)</f>
        <v>BOLÍVAR</v>
      </c>
      <c r="D67" s="40" t="str">
        <f t="shared" si="3"/>
        <v>030</v>
      </c>
      <c r="E67" s="39" t="str">
        <f>+_xlfn.XLOOKUP(A67,Hoja3!$C$3:$C$1124,Hoja3!$D$3:$D$1124)</f>
        <v>ALTOS DEL ROSARIO</v>
      </c>
      <c r="F67" s="41">
        <v>44024</v>
      </c>
    </row>
    <row r="68" spans="1:6" x14ac:dyDescent="0.25">
      <c r="A68" s="37" t="s">
        <v>647</v>
      </c>
      <c r="B68" s="38" t="str">
        <f t="shared" si="2"/>
        <v>47</v>
      </c>
      <c r="C68" s="39" t="str">
        <f>+_xlfn.XLOOKUP(A68,Hoja3!$C$3:$C$1124,Hoja3!$B$3:$B$1124)</f>
        <v>MAGDALENA</v>
      </c>
      <c r="D68" s="40" t="str">
        <f t="shared" si="3"/>
        <v>030</v>
      </c>
      <c r="E68" s="39" t="str">
        <f>+_xlfn.XLOOKUP(A68,Hoja3!$C$3:$C$1124,Hoja3!$D$3:$D$1124)</f>
        <v>ALGARROBO</v>
      </c>
      <c r="F68" s="41">
        <v>44016</v>
      </c>
    </row>
    <row r="69" spans="1:6" x14ac:dyDescent="0.25">
      <c r="A69" s="37" t="s">
        <v>948</v>
      </c>
      <c r="B69" s="38" t="str">
        <f t="shared" si="2"/>
        <v>73</v>
      </c>
      <c r="C69" s="39" t="str">
        <f>+_xlfn.XLOOKUP(A69,Hoja3!$C$3:$C$1124,Hoja3!$B$3:$B$1124)</f>
        <v>TOLIMA</v>
      </c>
      <c r="D69" s="40" t="str">
        <f t="shared" si="3"/>
        <v>030</v>
      </c>
      <c r="E69" s="39" t="str">
        <f>+_xlfn.XLOOKUP(A69,Hoja3!$C$3:$C$1124,Hoja3!$D$3:$D$1124)</f>
        <v>AMBALEMA</v>
      </c>
      <c r="F69" s="41">
        <v>44030</v>
      </c>
    </row>
    <row r="70" spans="1:6" x14ac:dyDescent="0.25">
      <c r="A70" s="37" t="s">
        <v>11</v>
      </c>
      <c r="B70" s="38" t="str">
        <f t="shared" si="2"/>
        <v>05</v>
      </c>
      <c r="C70" s="39" t="str">
        <f>+_xlfn.XLOOKUP(A70,Hoja3!$C$3:$C$1124,Hoja3!$B$3:$B$1124)</f>
        <v>ANTIOQUIA</v>
      </c>
      <c r="D70" s="40" t="str">
        <f t="shared" si="3"/>
        <v>031</v>
      </c>
      <c r="E70" s="39" t="str">
        <f>+_xlfn.XLOOKUP(A70,Hoja3!$C$3:$C$1124,Hoja3!$D$3:$D$1124)</f>
        <v>AMALFI</v>
      </c>
      <c r="F70" s="41">
        <v>44016</v>
      </c>
    </row>
    <row r="71" spans="1:6" x14ac:dyDescent="0.25">
      <c r="A71" s="37" t="s">
        <v>404</v>
      </c>
      <c r="B71" s="38" t="str">
        <f t="shared" si="2"/>
        <v>20</v>
      </c>
      <c r="C71" s="39" t="str">
        <f>+_xlfn.XLOOKUP(A71,Hoja3!$C$3:$C$1124,Hoja3!$B$3:$B$1124)</f>
        <v>CESAR</v>
      </c>
      <c r="D71" s="40" t="str">
        <f t="shared" si="3"/>
        <v>032</v>
      </c>
      <c r="E71" s="39" t="str">
        <f>+_xlfn.XLOOKUP(A71,Hoja3!$C$3:$C$1124,Hoja3!$D$3:$D$1124)</f>
        <v>ASTREA</v>
      </c>
      <c r="F71" s="41">
        <v>43994</v>
      </c>
    </row>
    <row r="72" spans="1:6" x14ac:dyDescent="0.25">
      <c r="A72" s="37" t="s">
        <v>12</v>
      </c>
      <c r="B72" s="38" t="str">
        <f t="shared" si="2"/>
        <v>05</v>
      </c>
      <c r="C72" s="39" t="str">
        <f>+_xlfn.XLOOKUP(A72,Hoja3!$C$3:$C$1124,Hoja3!$B$3:$B$1124)</f>
        <v>ANTIOQUIA</v>
      </c>
      <c r="D72" s="40" t="str">
        <f t="shared" si="3"/>
        <v>034</v>
      </c>
      <c r="E72" s="39" t="str">
        <f>+_xlfn.XLOOKUP(A72,Hoja3!$C$3:$C$1124,Hoja3!$D$3:$D$1124)</f>
        <v>ANDES</v>
      </c>
      <c r="F72" s="41">
        <v>43925</v>
      </c>
    </row>
    <row r="73" spans="1:6" x14ac:dyDescent="0.25">
      <c r="A73" s="37" t="s">
        <v>484</v>
      </c>
      <c r="B73" s="38" t="str">
        <f t="shared" si="2"/>
        <v>25</v>
      </c>
      <c r="C73" s="39" t="str">
        <f>+_xlfn.XLOOKUP(A73,Hoja3!$C$3:$C$1124,Hoja3!$B$3:$B$1124)</f>
        <v>CUNDINAMARCA</v>
      </c>
      <c r="D73" s="40" t="str">
        <f t="shared" si="3"/>
        <v>035</v>
      </c>
      <c r="E73" s="39" t="str">
        <f>+_xlfn.XLOOKUP(A73,Hoja3!$C$3:$C$1124,Hoja3!$D$3:$D$1124)</f>
        <v>ANAPOIMA</v>
      </c>
      <c r="F73" s="41">
        <v>43901</v>
      </c>
    </row>
    <row r="74" spans="1:6" x14ac:dyDescent="0.25">
      <c r="A74" s="37" t="s">
        <v>633</v>
      </c>
      <c r="B74" s="38" t="str">
        <f t="shared" si="2"/>
        <v>44</v>
      </c>
      <c r="C74" s="39" t="str">
        <f>+_xlfn.XLOOKUP(A74,Hoja3!$C$3:$C$1124,Hoja3!$B$3:$B$1124)</f>
        <v>LA GUAJIRA</v>
      </c>
      <c r="D74" s="40" t="str">
        <f t="shared" si="3"/>
        <v>035</v>
      </c>
      <c r="E74" s="39" t="str">
        <f>+_xlfn.XLOOKUP(A74,Hoja3!$C$3:$C$1124,Hoja3!$D$3:$D$1124)</f>
        <v>ALBANIA</v>
      </c>
      <c r="F74" s="41">
        <v>43944</v>
      </c>
    </row>
    <row r="75" spans="1:6" x14ac:dyDescent="0.25">
      <c r="A75" s="37" t="s">
        <v>13</v>
      </c>
      <c r="B75" s="38" t="str">
        <f t="shared" si="2"/>
        <v>05</v>
      </c>
      <c r="C75" s="39" t="str">
        <f>+_xlfn.XLOOKUP(A75,Hoja3!$C$3:$C$1124,Hoja3!$B$3:$B$1124)</f>
        <v>ANTIOQUIA</v>
      </c>
      <c r="D75" s="40" t="str">
        <f t="shared" si="3"/>
        <v>036</v>
      </c>
      <c r="E75" s="39" t="str">
        <f>+_xlfn.XLOOKUP(A75,Hoja3!$C$3:$C$1124,Hoja3!$D$3:$D$1124)</f>
        <v>ANGELÓPOLIS</v>
      </c>
      <c r="F75" s="41">
        <v>44039</v>
      </c>
    </row>
    <row r="76" spans="1:6" x14ac:dyDescent="0.25">
      <c r="A76" s="37" t="s">
        <v>705</v>
      </c>
      <c r="B76" s="38" t="str">
        <f t="shared" si="2"/>
        <v>52</v>
      </c>
      <c r="C76" s="39" t="str">
        <f>+_xlfn.XLOOKUP(A76,Hoja3!$C$3:$C$1124,Hoja3!$B$3:$B$1124)</f>
        <v>NARIÑO</v>
      </c>
      <c r="D76" s="40" t="str">
        <f t="shared" si="3"/>
        <v>036</v>
      </c>
      <c r="E76" s="39" t="str">
        <f>+_xlfn.XLOOKUP(A76,Hoja3!$C$3:$C$1124,Hoja3!$D$3:$D$1124)</f>
        <v>ANCUYA</v>
      </c>
      <c r="F76" s="41">
        <v>43944</v>
      </c>
    </row>
    <row r="77" spans="1:6" x14ac:dyDescent="0.25">
      <c r="A77" s="37" t="s">
        <v>990</v>
      </c>
      <c r="B77" s="38" t="str">
        <f t="shared" si="2"/>
        <v>76</v>
      </c>
      <c r="C77" s="39" t="str">
        <f>+_xlfn.XLOOKUP(A77,Hoja3!$C$3:$C$1124,Hoja3!$B$3:$B$1124)</f>
        <v>VALLE DEL CAUCA</v>
      </c>
      <c r="D77" s="40" t="str">
        <f t="shared" si="3"/>
        <v>036</v>
      </c>
      <c r="E77" s="39" t="str">
        <f>+_xlfn.XLOOKUP(A77,Hoja3!$C$3:$C$1124,Hoja3!$D$3:$D$1124)</f>
        <v>ANDALUCÍA</v>
      </c>
      <c r="F77" s="41">
        <v>43918</v>
      </c>
    </row>
    <row r="78" spans="1:6" x14ac:dyDescent="0.25">
      <c r="A78" s="37" t="s">
        <v>14</v>
      </c>
      <c r="B78" s="38" t="str">
        <f t="shared" si="2"/>
        <v>05</v>
      </c>
      <c r="C78" s="39" t="str">
        <f>+_xlfn.XLOOKUP(A78,Hoja3!$C$3:$C$1124,Hoja3!$B$3:$B$1124)</f>
        <v>ANTIOQUIA</v>
      </c>
      <c r="D78" s="40" t="str">
        <f t="shared" si="3"/>
        <v>038</v>
      </c>
      <c r="E78" s="39" t="str">
        <f>+_xlfn.XLOOKUP(A78,Hoja3!$C$3:$C$1124,Hoja3!$D$3:$D$1124)</f>
        <v>ANGOSTURA</v>
      </c>
      <c r="F78" s="41">
        <v>43908</v>
      </c>
    </row>
    <row r="79" spans="1:6" x14ac:dyDescent="0.25">
      <c r="A79" s="37" t="s">
        <v>15</v>
      </c>
      <c r="B79" s="38" t="str">
        <f t="shared" si="2"/>
        <v>05</v>
      </c>
      <c r="C79" s="39" t="str">
        <f>+_xlfn.XLOOKUP(A79,Hoja3!$C$3:$C$1124,Hoja3!$B$3:$B$1124)</f>
        <v>ANTIOQUIA</v>
      </c>
      <c r="D79" s="40" t="str">
        <f t="shared" si="3"/>
        <v>040</v>
      </c>
      <c r="E79" s="39" t="str">
        <f>+_xlfn.XLOOKUP(A79,Hoja3!$C$3:$C$1124,Hoja3!$D$3:$D$1124)</f>
        <v>ANORÍ</v>
      </c>
      <c r="F79" s="41">
        <v>44018</v>
      </c>
    </row>
    <row r="80" spans="1:6" x14ac:dyDescent="0.25">
      <c r="A80" s="37" t="s">
        <v>485</v>
      </c>
      <c r="B80" s="38" t="str">
        <f t="shared" si="2"/>
        <v>25</v>
      </c>
      <c r="C80" s="39" t="str">
        <f>+_xlfn.XLOOKUP(A80,Hoja3!$C$3:$C$1124,Hoja3!$B$3:$B$1124)</f>
        <v>CUNDINAMARCA</v>
      </c>
      <c r="D80" s="40" t="str">
        <f t="shared" si="3"/>
        <v>040</v>
      </c>
      <c r="E80" s="39" t="str">
        <f>+_xlfn.XLOOKUP(A80,Hoja3!$C$3:$C$1124,Hoja3!$D$3:$D$1124)</f>
        <v>ANOLAIMA</v>
      </c>
      <c r="F80" s="41">
        <v>43971</v>
      </c>
    </row>
    <row r="81" spans="1:6" x14ac:dyDescent="0.25">
      <c r="A81" s="37" t="s">
        <v>991</v>
      </c>
      <c r="B81" s="38" t="str">
        <f t="shared" si="2"/>
        <v>76</v>
      </c>
      <c r="C81" s="39" t="str">
        <f>+_xlfn.XLOOKUP(A81,Hoja3!$C$3:$C$1124,Hoja3!$B$3:$B$1124)</f>
        <v>VALLE DEL CAUCA</v>
      </c>
      <c r="D81" s="40" t="str">
        <f t="shared" si="3"/>
        <v>041</v>
      </c>
      <c r="E81" s="39" t="str">
        <f>+_xlfn.XLOOKUP(A81,Hoja3!$C$3:$C$1124,Hoja3!$D$3:$D$1124)</f>
        <v>ANSERMANUEVO</v>
      </c>
      <c r="F81" s="41">
        <v>43984</v>
      </c>
    </row>
    <row r="82" spans="1:6" x14ac:dyDescent="0.25">
      <c r="A82" s="37" t="s">
        <v>162</v>
      </c>
      <c r="B82" s="38" t="str">
        <f t="shared" si="2"/>
        <v>13</v>
      </c>
      <c r="C82" s="39" t="str">
        <f>+_xlfn.XLOOKUP(A82,Hoja3!$C$3:$C$1124,Hoja3!$B$3:$B$1124)</f>
        <v>BOLÍVAR</v>
      </c>
      <c r="D82" s="40" t="str">
        <f t="shared" si="3"/>
        <v>042</v>
      </c>
      <c r="E82" s="39" t="str">
        <f>+_xlfn.XLOOKUP(A82,Hoja3!$C$3:$C$1124,Hoja3!$D$3:$D$1124)</f>
        <v>ARENAL</v>
      </c>
      <c r="F82" s="41">
        <v>43948</v>
      </c>
    </row>
    <row r="83" spans="1:6" x14ac:dyDescent="0.25">
      <c r="A83" s="37" t="s">
        <v>16</v>
      </c>
      <c r="B83" s="38" t="str">
        <f t="shared" si="2"/>
        <v>05</v>
      </c>
      <c r="C83" s="39" t="str">
        <f>+_xlfn.XLOOKUP(A83,Hoja3!$C$3:$C$1124,Hoja3!$B$3:$B$1124)</f>
        <v>ANTIOQUIA</v>
      </c>
      <c r="D83" s="40" t="str">
        <f t="shared" si="3"/>
        <v>042</v>
      </c>
      <c r="E83" s="39" t="str">
        <f>+_xlfn.XLOOKUP(A83,Hoja3!$C$3:$C$1124,Hoja3!$D$3:$D$1124)</f>
        <v>SANTA FÉ DE ANTIOQUIA</v>
      </c>
      <c r="F83" s="41">
        <v>43987</v>
      </c>
    </row>
    <row r="84" spans="1:6" x14ac:dyDescent="0.25">
      <c r="A84" s="37" t="s">
        <v>308</v>
      </c>
      <c r="B84" s="38" t="str">
        <f t="shared" si="2"/>
        <v>17</v>
      </c>
      <c r="C84" s="39" t="str">
        <f>+_xlfn.XLOOKUP(A84,Hoja3!$C$3:$C$1124,Hoja3!$B$3:$B$1124)</f>
        <v>CALDAS</v>
      </c>
      <c r="D84" s="40" t="str">
        <f t="shared" si="3"/>
        <v>042</v>
      </c>
      <c r="E84" s="39" t="str">
        <f>+_xlfn.XLOOKUP(A84,Hoja3!$C$3:$C$1124,Hoja3!$D$3:$D$1124)</f>
        <v>ANSERMA</v>
      </c>
      <c r="F84" s="41">
        <v>43917</v>
      </c>
    </row>
    <row r="85" spans="1:6" x14ac:dyDescent="0.25">
      <c r="A85" s="37" t="s">
        <v>949</v>
      </c>
      <c r="B85" s="38" t="str">
        <f t="shared" si="2"/>
        <v>73</v>
      </c>
      <c r="C85" s="39" t="str">
        <f>+_xlfn.XLOOKUP(A85,Hoja3!$C$3:$C$1124,Hoja3!$B$3:$B$1124)</f>
        <v>TOLIMA</v>
      </c>
      <c r="D85" s="40" t="str">
        <f t="shared" si="3"/>
        <v>043</v>
      </c>
      <c r="E85" s="39" t="str">
        <f>+_xlfn.XLOOKUP(A85,Hoja3!$C$3:$C$1124,Hoja3!$D$3:$D$1124)</f>
        <v>ANZOÁTEGUI</v>
      </c>
      <c r="F85" s="41">
        <v>44012</v>
      </c>
    </row>
    <row r="86" spans="1:6" x14ac:dyDescent="0.25">
      <c r="A86" s="37" t="s">
        <v>17</v>
      </c>
      <c r="B86" s="38" t="str">
        <f t="shared" si="2"/>
        <v>05</v>
      </c>
      <c r="C86" s="39" t="str">
        <f>+_xlfn.XLOOKUP(A86,Hoja3!$C$3:$C$1124,Hoja3!$B$3:$B$1124)</f>
        <v>ANTIOQUIA</v>
      </c>
      <c r="D86" s="40" t="str">
        <f t="shared" si="3"/>
        <v>044</v>
      </c>
      <c r="E86" s="39" t="str">
        <f>+_xlfn.XLOOKUP(A86,Hoja3!$C$3:$C$1124,Hoja3!$D$3:$D$1124)</f>
        <v>ANZÁ</v>
      </c>
      <c r="F86" s="41">
        <v>43992</v>
      </c>
    </row>
    <row r="87" spans="1:6" x14ac:dyDescent="0.25">
      <c r="A87" s="37" t="s">
        <v>18</v>
      </c>
      <c r="B87" s="38" t="str">
        <f t="shared" si="2"/>
        <v>05</v>
      </c>
      <c r="C87" s="39" t="str">
        <f>+_xlfn.XLOOKUP(A87,Hoja3!$C$3:$C$1124,Hoja3!$B$3:$B$1124)</f>
        <v>ANTIOQUIA</v>
      </c>
      <c r="D87" s="40" t="str">
        <f t="shared" si="3"/>
        <v>045</v>
      </c>
      <c r="E87" s="39" t="str">
        <f>+_xlfn.XLOOKUP(A87,Hoja3!$C$3:$C$1124,Hoja3!$D$3:$D$1124)</f>
        <v>APARTADÓ</v>
      </c>
      <c r="F87" s="41">
        <v>43904</v>
      </c>
    </row>
    <row r="88" spans="1:6" x14ac:dyDescent="0.25">
      <c r="A88" s="37" t="s">
        <v>405</v>
      </c>
      <c r="B88" s="38" t="str">
        <f t="shared" si="2"/>
        <v>20</v>
      </c>
      <c r="C88" s="39" t="str">
        <f>+_xlfn.XLOOKUP(A88,Hoja3!$C$3:$C$1124,Hoja3!$B$3:$B$1124)</f>
        <v>CESAR</v>
      </c>
      <c r="D88" s="40" t="str">
        <f t="shared" si="3"/>
        <v>045</v>
      </c>
      <c r="E88" s="39" t="str">
        <f>+_xlfn.XLOOKUP(A88,Hoja3!$C$3:$C$1124,Hoja3!$D$3:$D$1124)</f>
        <v>BECERRIL</v>
      </c>
      <c r="F88" s="41">
        <v>43969</v>
      </c>
    </row>
    <row r="89" spans="1:6" x14ac:dyDescent="0.25">
      <c r="A89" s="37" t="s">
        <v>829</v>
      </c>
      <c r="B89" s="38" t="str">
        <f t="shared" si="2"/>
        <v>66</v>
      </c>
      <c r="C89" s="39" t="str">
        <f>+_xlfn.XLOOKUP(A89,Hoja3!$C$3:$C$1124,Hoja3!$B$3:$B$1124)</f>
        <v>RISARALDA</v>
      </c>
      <c r="D89" s="40" t="str">
        <f t="shared" si="3"/>
        <v>045</v>
      </c>
      <c r="E89" s="39" t="str">
        <f>+_xlfn.XLOOKUP(A89,Hoja3!$C$3:$C$1124,Hoja3!$D$3:$D$1124)</f>
        <v>APÍA</v>
      </c>
      <c r="F89" s="41">
        <v>44028</v>
      </c>
    </row>
    <row r="90" spans="1:6" x14ac:dyDescent="0.25">
      <c r="A90" s="37" t="s">
        <v>206</v>
      </c>
      <c r="B90" s="38" t="str">
        <f t="shared" si="2"/>
        <v>15</v>
      </c>
      <c r="C90" s="39" t="str">
        <f>+_xlfn.XLOOKUP(A90,Hoja3!$C$3:$C$1124,Hoja3!$B$3:$B$1124)</f>
        <v>BOYACÁ</v>
      </c>
      <c r="D90" s="40" t="str">
        <f t="shared" si="3"/>
        <v>047</v>
      </c>
      <c r="E90" s="39" t="str">
        <f>+_xlfn.XLOOKUP(A90,Hoja3!$C$3:$C$1124,Hoja3!$D$3:$D$1124)</f>
        <v>AQUITANIA</v>
      </c>
      <c r="F90" s="41">
        <v>43931</v>
      </c>
    </row>
    <row r="91" spans="1:6" x14ac:dyDescent="0.25">
      <c r="A91" s="37" t="s">
        <v>309</v>
      </c>
      <c r="B91" s="38" t="str">
        <f t="shared" si="2"/>
        <v>17</v>
      </c>
      <c r="C91" s="39" t="str">
        <f>+_xlfn.XLOOKUP(A91,Hoja3!$C$3:$C$1124,Hoja3!$B$3:$B$1124)</f>
        <v>CALDAS</v>
      </c>
      <c r="D91" s="40" t="str">
        <f t="shared" si="3"/>
        <v>050</v>
      </c>
      <c r="E91" s="39" t="str">
        <f>+_xlfn.XLOOKUP(A91,Hoja3!$C$3:$C$1124,Hoja3!$D$3:$D$1124)</f>
        <v>ARANZAZU</v>
      </c>
      <c r="F91" s="41">
        <v>43995</v>
      </c>
    </row>
    <row r="92" spans="1:6" x14ac:dyDescent="0.25">
      <c r="A92" s="37" t="s">
        <v>364</v>
      </c>
      <c r="B92" s="38" t="str">
        <f t="shared" si="2"/>
        <v>19</v>
      </c>
      <c r="C92" s="39" t="str">
        <f>+_xlfn.XLOOKUP(A92,Hoja3!$C$3:$C$1124,Hoja3!$B$3:$B$1124)</f>
        <v>CAUCA</v>
      </c>
      <c r="D92" s="40" t="str">
        <f t="shared" si="3"/>
        <v>050</v>
      </c>
      <c r="E92" s="39" t="str">
        <f>+_xlfn.XLOOKUP(A92,Hoja3!$C$3:$C$1124,Hoja3!$D$3:$D$1124)</f>
        <v>ARGELIA</v>
      </c>
      <c r="F92" s="41">
        <v>43997</v>
      </c>
    </row>
    <row r="93" spans="1:6" x14ac:dyDescent="0.25">
      <c r="A93" s="37" t="s">
        <v>429</v>
      </c>
      <c r="B93" s="38" t="str">
        <f t="shared" si="2"/>
        <v>27</v>
      </c>
      <c r="C93" s="39" t="str">
        <f>+_xlfn.XLOOKUP(A93,Hoja3!$C$3:$C$1124,Hoja3!$B$3:$B$1124)</f>
        <v>CHOCÓ</v>
      </c>
      <c r="D93" s="40" t="str">
        <f t="shared" si="3"/>
        <v>050</v>
      </c>
      <c r="E93" s="39" t="str">
        <f>+_xlfn.XLOOKUP(A93,Hoja3!$C$3:$C$1124,Hoja3!$D$3:$D$1124)</f>
        <v>ATRATO</v>
      </c>
      <c r="F93" s="41">
        <v>43952</v>
      </c>
    </row>
    <row r="94" spans="1:6" x14ac:dyDescent="0.25">
      <c r="A94" s="37" t="s">
        <v>19</v>
      </c>
      <c r="B94" s="38" t="str">
        <f t="shared" si="2"/>
        <v>05</v>
      </c>
      <c r="C94" s="39" t="str">
        <f>+_xlfn.XLOOKUP(A94,Hoja3!$C$3:$C$1124,Hoja3!$B$3:$B$1124)</f>
        <v>ANTIOQUIA</v>
      </c>
      <c r="D94" s="40" t="str">
        <f t="shared" si="3"/>
        <v>051</v>
      </c>
      <c r="E94" s="39" t="str">
        <f>+_xlfn.XLOOKUP(A94,Hoja3!$C$3:$C$1124,Hoja3!$D$3:$D$1124)</f>
        <v>ARBOLETES</v>
      </c>
      <c r="F94" s="41">
        <v>43961</v>
      </c>
    </row>
    <row r="95" spans="1:6" x14ac:dyDescent="0.25">
      <c r="A95" s="37" t="s">
        <v>207</v>
      </c>
      <c r="B95" s="38" t="str">
        <f t="shared" si="2"/>
        <v>15</v>
      </c>
      <c r="C95" s="39" t="str">
        <f>+_xlfn.XLOOKUP(A95,Hoja3!$C$3:$C$1124,Hoja3!$B$3:$B$1124)</f>
        <v>BOYACÁ</v>
      </c>
      <c r="D95" s="40" t="str">
        <f t="shared" si="3"/>
        <v>051</v>
      </c>
      <c r="E95" s="39" t="str">
        <f>+_xlfn.XLOOKUP(A95,Hoja3!$C$3:$C$1124,Hoja3!$D$3:$D$1124)</f>
        <v>ARCABUCO</v>
      </c>
      <c r="F95" s="41">
        <v>44020</v>
      </c>
    </row>
    <row r="96" spans="1:6" x14ac:dyDescent="0.25">
      <c r="A96" s="37" t="s">
        <v>706</v>
      </c>
      <c r="B96" s="38" t="str">
        <f t="shared" si="2"/>
        <v>52</v>
      </c>
      <c r="C96" s="39" t="str">
        <f>+_xlfn.XLOOKUP(A96,Hoja3!$C$3:$C$1124,Hoja3!$B$3:$B$1124)</f>
        <v>NARIÑO</v>
      </c>
      <c r="D96" s="40" t="str">
        <f t="shared" si="3"/>
        <v>051</v>
      </c>
      <c r="E96" s="39" t="str">
        <f>+_xlfn.XLOOKUP(A96,Hoja3!$C$3:$C$1124,Hoja3!$D$3:$D$1124)</f>
        <v>ARBOLEDA</v>
      </c>
      <c r="F96" s="41">
        <v>43976</v>
      </c>
    </row>
    <row r="97" spans="1:6" x14ac:dyDescent="0.25">
      <c r="A97" s="37" t="s">
        <v>766</v>
      </c>
      <c r="B97" s="38" t="str">
        <f t="shared" si="2"/>
        <v>54</v>
      </c>
      <c r="C97" s="39" t="str">
        <f>+_xlfn.XLOOKUP(A97,Hoja3!$C$3:$C$1124,Hoja3!$B$3:$B$1124)</f>
        <v>NORTE DE SANTANDER</v>
      </c>
      <c r="D97" s="40" t="str">
        <f t="shared" si="3"/>
        <v>051</v>
      </c>
      <c r="E97" s="39" t="str">
        <f>+_xlfn.XLOOKUP(A97,Hoja3!$C$3:$C$1124,Hoja3!$D$3:$D$1124)</f>
        <v>ARBOLEDAS</v>
      </c>
      <c r="F97" s="41">
        <v>44016</v>
      </c>
    </row>
    <row r="98" spans="1:6" x14ac:dyDescent="0.25">
      <c r="A98" s="37" t="s">
        <v>846</v>
      </c>
      <c r="B98" s="38" t="str">
        <f t="shared" si="2"/>
        <v>68</v>
      </c>
      <c r="C98" s="39" t="str">
        <f>+_xlfn.XLOOKUP(A98,Hoja3!$C$3:$C$1124,Hoja3!$B$3:$B$1124)</f>
        <v>SANTANDER</v>
      </c>
      <c r="D98" s="40" t="str">
        <f t="shared" si="3"/>
        <v>051</v>
      </c>
      <c r="E98" s="39" t="str">
        <f>+_xlfn.XLOOKUP(A98,Hoja3!$C$3:$C$1124,Hoja3!$D$3:$D$1124)</f>
        <v>ARATOCA</v>
      </c>
      <c r="F98" s="41">
        <v>44029</v>
      </c>
    </row>
    <row r="99" spans="1:6" x14ac:dyDescent="0.25">
      <c r="A99" s="37" t="s">
        <v>163</v>
      </c>
      <c r="B99" s="38" t="str">
        <f t="shared" si="2"/>
        <v>13</v>
      </c>
      <c r="C99" s="39" t="str">
        <f>+_xlfn.XLOOKUP(A99,Hoja3!$C$3:$C$1124,Hoja3!$B$3:$B$1124)</f>
        <v>BOLÍVAR</v>
      </c>
      <c r="D99" s="40" t="str">
        <f t="shared" si="3"/>
        <v>052</v>
      </c>
      <c r="E99" s="39" t="str">
        <f>+_xlfn.XLOOKUP(A99,Hoja3!$C$3:$C$1124,Hoja3!$D$3:$D$1124)</f>
        <v>ARJONA</v>
      </c>
      <c r="F99" s="41">
        <v>43909</v>
      </c>
    </row>
    <row r="100" spans="1:6" x14ac:dyDescent="0.25">
      <c r="A100" s="37" t="s">
        <v>486</v>
      </c>
      <c r="B100" s="38" t="str">
        <f t="shared" si="2"/>
        <v>25</v>
      </c>
      <c r="C100" s="39" t="str">
        <f>+_xlfn.XLOOKUP(A100,Hoja3!$C$3:$C$1124,Hoja3!$B$3:$B$1124)</f>
        <v>CUNDINAMARCA</v>
      </c>
      <c r="D100" s="40" t="str">
        <f t="shared" si="3"/>
        <v>053</v>
      </c>
      <c r="E100" s="39" t="str">
        <f>+_xlfn.XLOOKUP(A100,Hoja3!$C$3:$C$1124,Hoja3!$D$3:$D$1124)</f>
        <v>ARBELÁEZ</v>
      </c>
      <c r="F100" s="41">
        <v>44019</v>
      </c>
    </row>
    <row r="101" spans="1:6" x14ac:dyDescent="0.25">
      <c r="A101" s="37" t="s">
        <v>648</v>
      </c>
      <c r="B101" s="38" t="str">
        <f t="shared" si="2"/>
        <v>47</v>
      </c>
      <c r="C101" s="39" t="str">
        <f>+_xlfn.XLOOKUP(A101,Hoja3!$C$3:$C$1124,Hoja3!$B$3:$B$1124)</f>
        <v>MAGDALENA</v>
      </c>
      <c r="D101" s="40" t="str">
        <f t="shared" si="3"/>
        <v>053</v>
      </c>
      <c r="E101" s="39" t="str">
        <f>+_xlfn.XLOOKUP(A101,Hoja3!$C$3:$C$1124,Hoja3!$D$3:$D$1124)</f>
        <v>ARACATACA</v>
      </c>
      <c r="F101" s="41">
        <v>43959</v>
      </c>
    </row>
    <row r="102" spans="1:6" x14ac:dyDescent="0.25">
      <c r="A102" s="37" t="s">
        <v>992</v>
      </c>
      <c r="B102" s="38" t="str">
        <f t="shared" si="2"/>
        <v>76</v>
      </c>
      <c r="C102" s="39" t="str">
        <f>+_xlfn.XLOOKUP(A102,Hoja3!$C$3:$C$1124,Hoja3!$B$3:$B$1124)</f>
        <v>VALLE DEL CAUCA</v>
      </c>
      <c r="D102" s="40" t="str">
        <f t="shared" si="3"/>
        <v>054</v>
      </c>
      <c r="E102" s="39" t="str">
        <f>+_xlfn.XLOOKUP(A102,Hoja3!$C$3:$C$1124,Hoja3!$D$3:$D$1124)</f>
        <v>ARGELIA</v>
      </c>
      <c r="F102" s="41">
        <v>43958</v>
      </c>
    </row>
    <row r="103" spans="1:6" x14ac:dyDescent="0.25">
      <c r="A103" s="37" t="s">
        <v>20</v>
      </c>
      <c r="B103" s="38" t="str">
        <f t="shared" si="2"/>
        <v>05</v>
      </c>
      <c r="C103" s="39" t="str">
        <f>+_xlfn.XLOOKUP(A103,Hoja3!$C$3:$C$1124,Hoja3!$B$3:$B$1124)</f>
        <v>ANTIOQUIA</v>
      </c>
      <c r="D103" s="40" t="str">
        <f t="shared" si="3"/>
        <v>055</v>
      </c>
      <c r="E103" s="39" t="str">
        <f>+_xlfn.XLOOKUP(A103,Hoja3!$C$3:$C$1124,Hoja3!$D$3:$D$1124)</f>
        <v>ARGELIA</v>
      </c>
      <c r="F103" s="41">
        <v>44028</v>
      </c>
    </row>
    <row r="104" spans="1:6" x14ac:dyDescent="0.25">
      <c r="A104" s="37" t="s">
        <v>950</v>
      </c>
      <c r="B104" s="38" t="str">
        <f t="shared" si="2"/>
        <v>73</v>
      </c>
      <c r="C104" s="39" t="str">
        <f>+_xlfn.XLOOKUP(A104,Hoja3!$C$3:$C$1124,Hoja3!$B$3:$B$1124)</f>
        <v>TOLIMA</v>
      </c>
      <c r="D104" s="40" t="str">
        <f t="shared" si="3"/>
        <v>055</v>
      </c>
      <c r="E104" s="39" t="str">
        <f>+_xlfn.XLOOKUP(A104,Hoja3!$C$3:$C$1124,Hoja3!$D$3:$D$1124)</f>
        <v>ARMERO</v>
      </c>
      <c r="F104" s="41">
        <v>44035</v>
      </c>
    </row>
    <row r="105" spans="1:6" x14ac:dyDescent="0.25">
      <c r="A105" s="37" t="s">
        <v>649</v>
      </c>
      <c r="B105" s="38" t="str">
        <f t="shared" si="2"/>
        <v>47</v>
      </c>
      <c r="C105" s="39" t="str">
        <f>+_xlfn.XLOOKUP(A105,Hoja3!$C$3:$C$1124,Hoja3!$B$3:$B$1124)</f>
        <v>MAGDALENA</v>
      </c>
      <c r="D105" s="40" t="str">
        <f t="shared" si="3"/>
        <v>058</v>
      </c>
      <c r="E105" s="39" t="str">
        <f>+_xlfn.XLOOKUP(A105,Hoja3!$C$3:$C$1124,Hoja3!$D$3:$D$1124)</f>
        <v>ARIGUANÍ</v>
      </c>
      <c r="F105" s="41">
        <v>43976</v>
      </c>
    </row>
    <row r="106" spans="1:6" x14ac:dyDescent="0.25">
      <c r="A106" s="37" t="s">
        <v>21</v>
      </c>
      <c r="B106" s="38" t="str">
        <f t="shared" si="2"/>
        <v>05</v>
      </c>
      <c r="C106" s="39" t="str">
        <f>+_xlfn.XLOOKUP(A106,Hoja3!$C$3:$C$1124,Hoja3!$B$3:$B$1124)</f>
        <v>ANTIOQUIA</v>
      </c>
      <c r="D106" s="40" t="str">
        <f t="shared" si="3"/>
        <v>059</v>
      </c>
      <c r="E106" s="39" t="str">
        <f>+_xlfn.XLOOKUP(A106,Hoja3!$C$3:$C$1124,Hoja3!$D$3:$D$1124)</f>
        <v>ARMENIA</v>
      </c>
      <c r="F106" s="41">
        <v>44013</v>
      </c>
    </row>
    <row r="107" spans="1:6" x14ac:dyDescent="0.25">
      <c r="A107" s="37" t="s">
        <v>406</v>
      </c>
      <c r="B107" s="38" t="str">
        <f t="shared" si="2"/>
        <v>20</v>
      </c>
      <c r="C107" s="39" t="str">
        <f>+_xlfn.XLOOKUP(A107,Hoja3!$C$3:$C$1124,Hoja3!$B$3:$B$1124)</f>
        <v>CESAR</v>
      </c>
      <c r="D107" s="40" t="str">
        <f t="shared" si="3"/>
        <v>060</v>
      </c>
      <c r="E107" s="39" t="str">
        <f>+_xlfn.XLOOKUP(A107,Hoja3!$C$3:$C$1124,Hoja3!$D$3:$D$1124)</f>
        <v>BOSCONIA</v>
      </c>
      <c r="F107" s="41">
        <v>43932</v>
      </c>
    </row>
    <row r="108" spans="1:6" x14ac:dyDescent="0.25">
      <c r="A108" s="37" t="s">
        <v>164</v>
      </c>
      <c r="B108" s="38" t="str">
        <f t="shared" si="2"/>
        <v>13</v>
      </c>
      <c r="C108" s="39" t="str">
        <f>+_xlfn.XLOOKUP(A108,Hoja3!$C$3:$C$1124,Hoja3!$B$3:$B$1124)</f>
        <v>BOLÍVAR</v>
      </c>
      <c r="D108" s="40" t="str">
        <f t="shared" si="3"/>
        <v>062</v>
      </c>
      <c r="E108" s="39" t="str">
        <f>+_xlfn.XLOOKUP(A108,Hoja3!$C$3:$C$1124,Hoja3!$D$3:$D$1124)</f>
        <v>ARROYOHONDO</v>
      </c>
      <c r="F108" s="41">
        <v>43999</v>
      </c>
    </row>
    <row r="109" spans="1:6" x14ac:dyDescent="0.25">
      <c r="A109" s="37" t="s">
        <v>130</v>
      </c>
      <c r="B109" s="38" t="str">
        <f t="shared" si="2"/>
        <v>81</v>
      </c>
      <c r="C109" s="39" t="str">
        <f>+_xlfn.XLOOKUP(A109,Hoja3!$C$3:$C$1124,Hoja3!$B$3:$B$1124)</f>
        <v>ARAUCA</v>
      </c>
      <c r="D109" s="40" t="str">
        <f t="shared" si="3"/>
        <v>065</v>
      </c>
      <c r="E109" s="39" t="str">
        <f>+_xlfn.XLOOKUP(A109,Hoja3!$C$3:$C$1124,Hoja3!$D$3:$D$1124)</f>
        <v>ARAUQUITA</v>
      </c>
      <c r="F109" s="41">
        <v>43981</v>
      </c>
    </row>
    <row r="110" spans="1:6" x14ac:dyDescent="0.25">
      <c r="A110" s="37" t="s">
        <v>951</v>
      </c>
      <c r="B110" s="38" t="str">
        <f t="shared" si="2"/>
        <v>73</v>
      </c>
      <c r="C110" s="39" t="str">
        <f>+_xlfn.XLOOKUP(A110,Hoja3!$C$3:$C$1124,Hoja3!$B$3:$B$1124)</f>
        <v>TOLIMA</v>
      </c>
      <c r="D110" s="40" t="str">
        <f t="shared" si="3"/>
        <v>067</v>
      </c>
      <c r="E110" s="39" t="str">
        <f>+_xlfn.XLOOKUP(A110,Hoja3!$C$3:$C$1124,Hoja3!$D$3:$D$1124)</f>
        <v>ATACO</v>
      </c>
      <c r="F110" s="41">
        <v>44061</v>
      </c>
    </row>
    <row r="111" spans="1:6" x14ac:dyDescent="0.25">
      <c r="A111" s="37" t="s">
        <v>453</v>
      </c>
      <c r="B111" s="38" t="str">
        <f t="shared" si="2"/>
        <v>23</v>
      </c>
      <c r="C111" s="39" t="str">
        <f>+_xlfn.XLOOKUP(A111,Hoja3!$C$3:$C$1124,Hoja3!$B$3:$B$1124)</f>
        <v>CÓRDOBA</v>
      </c>
      <c r="D111" s="40" t="str">
        <f t="shared" si="3"/>
        <v>068</v>
      </c>
      <c r="E111" s="39" t="str">
        <f>+_xlfn.XLOOKUP(A111,Hoja3!$C$3:$C$1124,Hoja3!$D$3:$D$1124)</f>
        <v>AYAPEL</v>
      </c>
      <c r="F111" s="41">
        <v>43927</v>
      </c>
    </row>
    <row r="112" spans="1:6" x14ac:dyDescent="0.25">
      <c r="A112" s="37" t="s">
        <v>430</v>
      </c>
      <c r="B112" s="38" t="str">
        <f t="shared" si="2"/>
        <v>27</v>
      </c>
      <c r="C112" s="39" t="str">
        <f>+_xlfn.XLOOKUP(A112,Hoja3!$C$3:$C$1124,Hoja3!$B$3:$B$1124)</f>
        <v>CHOCÓ</v>
      </c>
      <c r="D112" s="40" t="str">
        <f t="shared" si="3"/>
        <v>073</v>
      </c>
      <c r="E112" s="39" t="str">
        <f>+_xlfn.XLOOKUP(A112,Hoja3!$C$3:$C$1124,Hoja3!$D$3:$D$1124)</f>
        <v>BAGADÓ</v>
      </c>
      <c r="F112" s="41">
        <v>43963</v>
      </c>
    </row>
    <row r="113" spans="1:6" x14ac:dyDescent="0.25">
      <c r="A113" s="37" t="s">
        <v>165</v>
      </c>
      <c r="B113" s="38" t="str">
        <f t="shared" si="2"/>
        <v>13</v>
      </c>
      <c r="C113" s="39" t="str">
        <f>+_xlfn.XLOOKUP(A113,Hoja3!$C$3:$C$1124,Hoja3!$B$3:$B$1124)</f>
        <v>BOLÍVAR</v>
      </c>
      <c r="D113" s="40" t="str">
        <f t="shared" si="3"/>
        <v>074</v>
      </c>
      <c r="E113" s="39" t="str">
        <f>+_xlfn.XLOOKUP(A113,Hoja3!$C$3:$C$1124,Hoja3!$D$3:$D$1124)</f>
        <v>BARRANCO DE LOBA</v>
      </c>
      <c r="F113" s="41">
        <v>43902</v>
      </c>
    </row>
    <row r="114" spans="1:6" x14ac:dyDescent="0.25">
      <c r="A114" s="37" t="s">
        <v>365</v>
      </c>
      <c r="B114" s="38" t="str">
        <f t="shared" si="2"/>
        <v>19</v>
      </c>
      <c r="C114" s="39" t="str">
        <f>+_xlfn.XLOOKUP(A114,Hoja3!$C$3:$C$1124,Hoja3!$B$3:$B$1124)</f>
        <v>CAUCA</v>
      </c>
      <c r="D114" s="40" t="str">
        <f t="shared" si="3"/>
        <v>075</v>
      </c>
      <c r="E114" s="39" t="str">
        <f>+_xlfn.XLOOKUP(A114,Hoja3!$C$3:$C$1124,Hoja3!$D$3:$D$1124)</f>
        <v>BALBOA</v>
      </c>
      <c r="F114" s="41">
        <v>43991</v>
      </c>
    </row>
    <row r="115" spans="1:6" x14ac:dyDescent="0.25">
      <c r="A115" s="37" t="s">
        <v>431</v>
      </c>
      <c r="B115" s="38" t="str">
        <f t="shared" si="2"/>
        <v>27</v>
      </c>
      <c r="C115" s="39" t="str">
        <f>+_xlfn.XLOOKUP(A115,Hoja3!$C$3:$C$1124,Hoja3!$B$3:$B$1124)</f>
        <v>CHOCÓ</v>
      </c>
      <c r="D115" s="40" t="str">
        <f t="shared" si="3"/>
        <v>075</v>
      </c>
      <c r="E115" s="39" t="str">
        <f>+_xlfn.XLOOKUP(A115,Hoja3!$C$3:$C$1124,Hoja3!$D$3:$D$1124)</f>
        <v>BAHÍA SOLANO</v>
      </c>
      <c r="F115" s="41">
        <v>43953</v>
      </c>
    </row>
    <row r="116" spans="1:6" x14ac:dyDescent="0.25">
      <c r="A116" s="37" t="s">
        <v>830</v>
      </c>
      <c r="B116" s="38" t="str">
        <f t="shared" si="2"/>
        <v>66</v>
      </c>
      <c r="C116" s="39" t="str">
        <f>+_xlfn.XLOOKUP(A116,Hoja3!$C$3:$C$1124,Hoja3!$B$3:$B$1124)</f>
        <v>RISARALDA</v>
      </c>
      <c r="D116" s="40" t="str">
        <f t="shared" si="3"/>
        <v>075</v>
      </c>
      <c r="E116" s="39" t="str">
        <f>+_xlfn.XLOOKUP(A116,Hoja3!$C$3:$C$1124,Hoja3!$D$3:$D$1124)</f>
        <v>BALBOA</v>
      </c>
      <c r="F116" s="41">
        <v>44006</v>
      </c>
    </row>
    <row r="117" spans="1:6" x14ac:dyDescent="0.25">
      <c r="A117" s="37" t="s">
        <v>432</v>
      </c>
      <c r="B117" s="38" t="str">
        <f t="shared" si="2"/>
        <v>27</v>
      </c>
      <c r="C117" s="39" t="str">
        <f>+_xlfn.XLOOKUP(A117,Hoja3!$C$3:$C$1124,Hoja3!$B$3:$B$1124)</f>
        <v>CHOCÓ</v>
      </c>
      <c r="D117" s="40" t="str">
        <f t="shared" si="3"/>
        <v>077</v>
      </c>
      <c r="E117" s="39" t="str">
        <f>+_xlfn.XLOOKUP(A117,Hoja3!$C$3:$C$1124,Hoja3!$D$3:$D$1124)</f>
        <v>BAJO BAUDÓ</v>
      </c>
      <c r="F117" s="41">
        <v>43995</v>
      </c>
    </row>
    <row r="118" spans="1:6" x14ac:dyDescent="0.25">
      <c r="A118" s="37" t="s">
        <v>847</v>
      </c>
      <c r="B118" s="38" t="str">
        <f t="shared" si="2"/>
        <v>68</v>
      </c>
      <c r="C118" s="39" t="str">
        <f>+_xlfn.XLOOKUP(A118,Hoja3!$C$3:$C$1124,Hoja3!$B$3:$B$1124)</f>
        <v>SANTANDER</v>
      </c>
      <c r="D118" s="40" t="str">
        <f t="shared" si="3"/>
        <v>077</v>
      </c>
      <c r="E118" s="39" t="str">
        <f>+_xlfn.XLOOKUP(A118,Hoja3!$C$3:$C$1124,Hoja3!$D$3:$D$1124)</f>
        <v>BARBOSA</v>
      </c>
      <c r="F118" s="41">
        <v>43974</v>
      </c>
    </row>
    <row r="119" spans="1:6" x14ac:dyDescent="0.25">
      <c r="A119" s="37" t="s">
        <v>136</v>
      </c>
      <c r="B119" s="38" t="str">
        <f t="shared" si="2"/>
        <v>08</v>
      </c>
      <c r="C119" s="39" t="str">
        <f>+_xlfn.XLOOKUP(A119,Hoja3!$C$3:$C$1124,Hoja3!$B$3:$B$1124)</f>
        <v>ATLÁNTICO</v>
      </c>
      <c r="D119" s="40" t="str">
        <f t="shared" si="3"/>
        <v>078</v>
      </c>
      <c r="E119" s="39" t="str">
        <f>+_xlfn.XLOOKUP(A119,Hoja3!$C$3:$C$1124,Hoja3!$D$3:$D$1124)</f>
        <v>BARANOA</v>
      </c>
      <c r="F119" s="41">
        <v>43925</v>
      </c>
    </row>
    <row r="120" spans="1:6" x14ac:dyDescent="0.25">
      <c r="A120" s="37" t="s">
        <v>634</v>
      </c>
      <c r="B120" s="38" t="str">
        <f t="shared" si="2"/>
        <v>44</v>
      </c>
      <c r="C120" s="39" t="str">
        <f>+_xlfn.XLOOKUP(A120,Hoja3!$C$3:$C$1124,Hoja3!$B$3:$B$1124)</f>
        <v>LA GUAJIRA</v>
      </c>
      <c r="D120" s="40" t="str">
        <f t="shared" si="3"/>
        <v>078</v>
      </c>
      <c r="E120" s="39" t="str">
        <f>+_xlfn.XLOOKUP(A120,Hoja3!$C$3:$C$1124,Hoja3!$D$3:$D$1124)</f>
        <v>BARRANCAS</v>
      </c>
      <c r="F120" s="41">
        <v>43965</v>
      </c>
    </row>
    <row r="121" spans="1:6" x14ac:dyDescent="0.25">
      <c r="A121" s="37" t="s">
        <v>601</v>
      </c>
      <c r="B121" s="38" t="str">
        <f t="shared" si="2"/>
        <v>41</v>
      </c>
      <c r="C121" s="39" t="str">
        <f>+_xlfn.XLOOKUP(A121,Hoja3!$C$3:$C$1124,Hoja3!$B$3:$B$1124)</f>
        <v>HUILA</v>
      </c>
      <c r="D121" s="40" t="str">
        <f t="shared" si="3"/>
        <v>078</v>
      </c>
      <c r="E121" s="39" t="str">
        <f>+_xlfn.XLOOKUP(A121,Hoja3!$C$3:$C$1124,Hoja3!$D$3:$D$1124)</f>
        <v>BARAYA</v>
      </c>
      <c r="F121" s="41">
        <v>44022</v>
      </c>
    </row>
    <row r="122" spans="1:6" x14ac:dyDescent="0.25">
      <c r="A122" s="37" t="s">
        <v>454</v>
      </c>
      <c r="B122" s="38" t="str">
        <f t="shared" si="2"/>
        <v>23</v>
      </c>
      <c r="C122" s="39" t="str">
        <f>+_xlfn.XLOOKUP(A122,Hoja3!$C$3:$C$1124,Hoja3!$B$3:$B$1124)</f>
        <v>CÓRDOBA</v>
      </c>
      <c r="D122" s="40" t="str">
        <f t="shared" si="3"/>
        <v>079</v>
      </c>
      <c r="E122" s="39" t="str">
        <f>+_xlfn.XLOOKUP(A122,Hoja3!$C$3:$C$1124,Hoja3!$D$3:$D$1124)</f>
        <v>BUENAVISTA</v>
      </c>
      <c r="F122" s="41">
        <v>43981</v>
      </c>
    </row>
    <row r="123" spans="1:6" x14ac:dyDescent="0.25">
      <c r="A123" s="37" t="s">
        <v>22</v>
      </c>
      <c r="B123" s="38" t="str">
        <f t="shared" si="2"/>
        <v>05</v>
      </c>
      <c r="C123" s="39" t="str">
        <f>+_xlfn.XLOOKUP(A123,Hoja3!$C$3:$C$1124,Hoja3!$B$3:$B$1124)</f>
        <v>ANTIOQUIA</v>
      </c>
      <c r="D123" s="40" t="str">
        <f t="shared" si="3"/>
        <v>079</v>
      </c>
      <c r="E123" s="39" t="str">
        <f>+_xlfn.XLOOKUP(A123,Hoja3!$C$3:$C$1124,Hoja3!$D$3:$D$1124)</f>
        <v>BARBOSA</v>
      </c>
      <c r="F123" s="41">
        <v>43936</v>
      </c>
    </row>
    <row r="124" spans="1:6" x14ac:dyDescent="0.25">
      <c r="A124" s="37" t="s">
        <v>707</v>
      </c>
      <c r="B124" s="38" t="str">
        <f t="shared" si="2"/>
        <v>52</v>
      </c>
      <c r="C124" s="39" t="str">
        <f>+_xlfn.XLOOKUP(A124,Hoja3!$C$3:$C$1124,Hoja3!$B$3:$B$1124)</f>
        <v>NARIÑO</v>
      </c>
      <c r="D124" s="40" t="str">
        <f t="shared" si="3"/>
        <v>079</v>
      </c>
      <c r="E124" s="39" t="str">
        <f>+_xlfn.XLOOKUP(A124,Hoja3!$C$3:$C$1124,Hoja3!$D$3:$D$1124)</f>
        <v>BARBACOAS</v>
      </c>
      <c r="F124" s="41">
        <v>43971</v>
      </c>
    </row>
    <row r="125" spans="1:6" x14ac:dyDescent="0.25">
      <c r="A125" s="37" t="s">
        <v>848</v>
      </c>
      <c r="B125" s="38" t="str">
        <f t="shared" si="2"/>
        <v>68</v>
      </c>
      <c r="C125" s="39" t="str">
        <f>+_xlfn.XLOOKUP(A125,Hoja3!$C$3:$C$1124,Hoja3!$B$3:$B$1124)</f>
        <v>SANTANDER</v>
      </c>
      <c r="D125" s="40" t="str">
        <f t="shared" si="3"/>
        <v>079</v>
      </c>
      <c r="E125" s="39" t="str">
        <f>+_xlfn.XLOOKUP(A125,Hoja3!$C$3:$C$1124,Hoja3!$D$3:$D$1124)</f>
        <v>BARICHARA</v>
      </c>
      <c r="F125" s="41">
        <v>43996</v>
      </c>
    </row>
    <row r="126" spans="1:6" x14ac:dyDescent="0.25">
      <c r="A126" s="37" t="s">
        <v>849</v>
      </c>
      <c r="B126" s="38" t="str">
        <f t="shared" si="2"/>
        <v>68</v>
      </c>
      <c r="C126" s="39" t="str">
        <f>+_xlfn.XLOOKUP(A126,Hoja3!$C$3:$C$1124,Hoja3!$B$3:$B$1124)</f>
        <v>SANTANDER</v>
      </c>
      <c r="D126" s="40" t="str">
        <f t="shared" si="3"/>
        <v>081</v>
      </c>
      <c r="E126" s="39" t="str">
        <f>+_xlfn.XLOOKUP(A126,Hoja3!$C$3:$C$1124,Hoja3!$D$3:$D$1124)</f>
        <v>BARRANCABERMEJA</v>
      </c>
      <c r="F126" s="41">
        <v>43912</v>
      </c>
    </row>
    <row r="127" spans="1:6" x14ac:dyDescent="0.25">
      <c r="A127" s="37" t="s">
        <v>708</v>
      </c>
      <c r="B127" s="38" t="str">
        <f t="shared" si="2"/>
        <v>52</v>
      </c>
      <c r="C127" s="39" t="str">
        <f>+_xlfn.XLOOKUP(A127,Hoja3!$C$3:$C$1124,Hoja3!$B$3:$B$1124)</f>
        <v>NARIÑO</v>
      </c>
      <c r="D127" s="40" t="str">
        <f t="shared" si="3"/>
        <v>083</v>
      </c>
      <c r="E127" s="39" t="str">
        <f>+_xlfn.XLOOKUP(A127,Hoja3!$C$3:$C$1124,Hoja3!$D$3:$D$1124)</f>
        <v>BELÉN</v>
      </c>
      <c r="F127" s="41">
        <v>43935</v>
      </c>
    </row>
    <row r="128" spans="1:6" x14ac:dyDescent="0.25">
      <c r="A128" s="37" t="s">
        <v>23</v>
      </c>
      <c r="B128" s="38" t="str">
        <f t="shared" si="2"/>
        <v>05</v>
      </c>
      <c r="C128" s="39" t="str">
        <f>+_xlfn.XLOOKUP(A128,Hoja3!$C$3:$C$1124,Hoja3!$B$3:$B$1124)</f>
        <v>ANTIOQUIA</v>
      </c>
      <c r="D128" s="40" t="str">
        <f t="shared" si="3"/>
        <v>086</v>
      </c>
      <c r="E128" s="39" t="str">
        <f>+_xlfn.XLOOKUP(A128,Hoja3!$C$3:$C$1124,Hoja3!$D$3:$D$1124)</f>
        <v>BELMIRA</v>
      </c>
      <c r="F128" s="41">
        <v>44021</v>
      </c>
    </row>
    <row r="129" spans="1:6" x14ac:dyDescent="0.25">
      <c r="A129" s="37" t="s">
        <v>487</v>
      </c>
      <c r="B129" s="38" t="str">
        <f t="shared" si="2"/>
        <v>25</v>
      </c>
      <c r="C129" s="39" t="str">
        <f>+_xlfn.XLOOKUP(A129,Hoja3!$C$3:$C$1124,Hoja3!$B$3:$B$1124)</f>
        <v>CUNDINAMARCA</v>
      </c>
      <c r="D129" s="40" t="str">
        <f t="shared" si="3"/>
        <v>086</v>
      </c>
      <c r="E129" s="39" t="str">
        <f>+_xlfn.XLOOKUP(A129,Hoja3!$C$3:$C$1124,Hoja3!$D$3:$D$1124)</f>
        <v>BELTRÁN</v>
      </c>
      <c r="F129" s="41">
        <v>43992</v>
      </c>
    </row>
    <row r="130" spans="1:6" x14ac:dyDescent="0.25">
      <c r="A130" s="37" t="s">
        <v>208</v>
      </c>
      <c r="B130" s="38" t="str">
        <f t="shared" ref="B130:B193" si="4">MID(A130,1,2)</f>
        <v>15</v>
      </c>
      <c r="C130" s="39" t="str">
        <f>+_xlfn.XLOOKUP(A130,Hoja3!$C$3:$C$1124,Hoja3!$B$3:$B$1124)</f>
        <v>BOYACÁ</v>
      </c>
      <c r="D130" s="40" t="str">
        <f t="shared" ref="D130:D193" si="5">MID(A130,3,3)</f>
        <v>087</v>
      </c>
      <c r="E130" s="39" t="str">
        <f>+_xlfn.XLOOKUP(A130,Hoja3!$C$3:$C$1124,Hoja3!$D$3:$D$1124)</f>
        <v>BELÉN</v>
      </c>
      <c r="F130" s="41">
        <v>44022</v>
      </c>
    </row>
    <row r="131" spans="1:6" x14ac:dyDescent="0.25">
      <c r="A131" s="37" t="s">
        <v>310</v>
      </c>
      <c r="B131" s="38" t="str">
        <f t="shared" si="4"/>
        <v>17</v>
      </c>
      <c r="C131" s="39" t="str">
        <f>+_xlfn.XLOOKUP(A131,Hoja3!$C$3:$C$1124,Hoja3!$B$3:$B$1124)</f>
        <v>CALDAS</v>
      </c>
      <c r="D131" s="40" t="str">
        <f t="shared" si="5"/>
        <v>088</v>
      </c>
      <c r="E131" s="39" t="str">
        <f>+_xlfn.XLOOKUP(A131,Hoja3!$C$3:$C$1124,Hoja3!$D$3:$D$1124)</f>
        <v>BELALCÁZAR</v>
      </c>
      <c r="F131" s="41">
        <v>44029</v>
      </c>
    </row>
    <row r="132" spans="1:6" x14ac:dyDescent="0.25">
      <c r="A132" s="37" t="s">
        <v>24</v>
      </c>
      <c r="B132" s="38" t="str">
        <f t="shared" si="4"/>
        <v>05</v>
      </c>
      <c r="C132" s="39" t="str">
        <f>+_xlfn.XLOOKUP(A132,Hoja3!$C$3:$C$1124,Hoja3!$B$3:$B$1124)</f>
        <v>ANTIOQUIA</v>
      </c>
      <c r="D132" s="40" t="str">
        <f t="shared" si="5"/>
        <v>088</v>
      </c>
      <c r="E132" s="39" t="str">
        <f>+_xlfn.XLOOKUP(A132,Hoja3!$C$3:$C$1124,Hoja3!$D$3:$D$1124)</f>
        <v>BELLO</v>
      </c>
      <c r="F132" s="41">
        <v>43899</v>
      </c>
    </row>
    <row r="133" spans="1:6" x14ac:dyDescent="0.25">
      <c r="A133" s="37" t="s">
        <v>831</v>
      </c>
      <c r="B133" s="38" t="str">
        <f t="shared" si="4"/>
        <v>66</v>
      </c>
      <c r="C133" s="39" t="str">
        <f>+_xlfn.XLOOKUP(A133,Hoja3!$C$3:$C$1124,Hoja3!$B$3:$B$1124)</f>
        <v>RISARALDA</v>
      </c>
      <c r="D133" s="40" t="str">
        <f t="shared" si="5"/>
        <v>088</v>
      </c>
      <c r="E133" s="39" t="str">
        <f>+_xlfn.XLOOKUP(A133,Hoja3!$C$3:$C$1124,Hoja3!$D$3:$D$1124)</f>
        <v>BELÉN DE UMBRÍA</v>
      </c>
      <c r="F133" s="41">
        <v>43971</v>
      </c>
    </row>
    <row r="134" spans="1:6" x14ac:dyDescent="0.25">
      <c r="A134" s="37" t="s">
        <v>455</v>
      </c>
      <c r="B134" s="38" t="str">
        <f t="shared" si="4"/>
        <v>23</v>
      </c>
      <c r="C134" s="39" t="str">
        <f>+_xlfn.XLOOKUP(A134,Hoja3!$C$3:$C$1124,Hoja3!$B$3:$B$1124)</f>
        <v>CÓRDOBA</v>
      </c>
      <c r="D134" s="40" t="str">
        <f t="shared" si="5"/>
        <v>090</v>
      </c>
      <c r="E134" s="39" t="str">
        <f>+_xlfn.XLOOKUP(A134,Hoja3!$C$3:$C$1124,Hoja3!$D$3:$D$1124)</f>
        <v>CANALETE</v>
      </c>
      <c r="F134" s="41">
        <v>43944</v>
      </c>
    </row>
    <row r="135" spans="1:6" x14ac:dyDescent="0.25">
      <c r="A135" s="37" t="s">
        <v>635</v>
      </c>
      <c r="B135" s="38" t="str">
        <f t="shared" si="4"/>
        <v>44</v>
      </c>
      <c r="C135" s="39" t="str">
        <f>+_xlfn.XLOOKUP(A135,Hoja3!$C$3:$C$1124,Hoja3!$B$3:$B$1124)</f>
        <v>LA GUAJIRA</v>
      </c>
      <c r="D135" s="40" t="str">
        <f t="shared" si="5"/>
        <v>090</v>
      </c>
      <c r="E135" s="39" t="str">
        <f>+_xlfn.XLOOKUP(A135,Hoja3!$C$3:$C$1124,Hoja3!$D$3:$D$1124)</f>
        <v>DIBULLA</v>
      </c>
      <c r="F135" s="41">
        <v>43960</v>
      </c>
    </row>
    <row r="136" spans="1:6" x14ac:dyDescent="0.25">
      <c r="A136" s="38" t="s">
        <v>2081</v>
      </c>
      <c r="B136" s="38" t="str">
        <f t="shared" si="4"/>
        <v>15</v>
      </c>
      <c r="C136" s="39" t="str">
        <f>+_xlfn.XLOOKUP(A136,Hoja3!$C$3:$C$1124,Hoja3!$B$3:$B$1124)</f>
        <v>BOYACÁ</v>
      </c>
      <c r="D136" s="40" t="str">
        <f t="shared" si="5"/>
        <v>090</v>
      </c>
      <c r="E136" s="39" t="str">
        <f>+_xlfn.XLOOKUP(A136,Hoja3!$C$3:$C$1124,Hoja3!$D$3:$D$1124)</f>
        <v>BERBEO</v>
      </c>
      <c r="F136" s="42">
        <v>45658</v>
      </c>
    </row>
    <row r="137" spans="1:6" x14ac:dyDescent="0.25">
      <c r="A137" s="37" t="s">
        <v>25</v>
      </c>
      <c r="B137" s="38" t="str">
        <f t="shared" si="4"/>
        <v>05</v>
      </c>
      <c r="C137" s="39" t="str">
        <f>+_xlfn.XLOOKUP(A137,Hoja3!$C$3:$C$1124,Hoja3!$B$3:$B$1124)</f>
        <v>ANTIOQUIA</v>
      </c>
      <c r="D137" s="40" t="str">
        <f t="shared" si="5"/>
        <v>091</v>
      </c>
      <c r="E137" s="39" t="str">
        <f>+_xlfn.XLOOKUP(A137,Hoja3!$C$3:$C$1124,Hoja3!$D$3:$D$1124)</f>
        <v>BETANIA</v>
      </c>
      <c r="F137" s="41">
        <v>44040</v>
      </c>
    </row>
    <row r="138" spans="1:6" x14ac:dyDescent="0.25">
      <c r="A138" s="37" t="s">
        <v>850</v>
      </c>
      <c r="B138" s="38" t="str">
        <f t="shared" si="4"/>
        <v>68</v>
      </c>
      <c r="C138" s="39" t="str">
        <f>+_xlfn.XLOOKUP(A138,Hoja3!$C$3:$C$1124,Hoja3!$B$3:$B$1124)</f>
        <v>SANTANDER</v>
      </c>
      <c r="D138" s="40" t="str">
        <f t="shared" si="5"/>
        <v>092</v>
      </c>
      <c r="E138" s="39" t="str">
        <f>+_xlfn.XLOOKUP(A138,Hoja3!$C$3:$C$1124,Hoja3!$D$3:$D$1124)</f>
        <v>BETULIA</v>
      </c>
      <c r="F138" s="41">
        <v>44039</v>
      </c>
    </row>
    <row r="139" spans="1:6" x14ac:dyDescent="0.25">
      <c r="A139" s="38" t="s">
        <v>2060</v>
      </c>
      <c r="B139" s="38" t="str">
        <f t="shared" si="4"/>
        <v>15</v>
      </c>
      <c r="C139" s="39" t="str">
        <f>+_xlfn.XLOOKUP(A139,Hoja3!$C$3:$C$1124,Hoja3!$B$3:$B$1124)</f>
        <v>BOYACÁ</v>
      </c>
      <c r="D139" s="40" t="str">
        <f t="shared" si="5"/>
        <v>092</v>
      </c>
      <c r="E139" s="39" t="str">
        <f>+_xlfn.XLOOKUP(A139,Hoja3!$C$3:$C$1124,Hoja3!$D$3:$D$1124)</f>
        <v>BETÉITIVA</v>
      </c>
      <c r="F139" s="42">
        <v>45658</v>
      </c>
    </row>
    <row r="140" spans="1:6" x14ac:dyDescent="0.25">
      <c r="A140" s="37" t="s">
        <v>26</v>
      </c>
      <c r="B140" s="38" t="str">
        <f t="shared" si="4"/>
        <v>05</v>
      </c>
      <c r="C140" s="39" t="str">
        <f>+_xlfn.XLOOKUP(A140,Hoja3!$C$3:$C$1124,Hoja3!$B$3:$B$1124)</f>
        <v>ANTIOQUIA</v>
      </c>
      <c r="D140" s="40" t="str">
        <f t="shared" si="5"/>
        <v>093</v>
      </c>
      <c r="E140" s="39" t="str">
        <f>+_xlfn.XLOOKUP(A140,Hoja3!$C$3:$C$1124,Hoja3!$D$3:$D$1124)</f>
        <v>BETULIA</v>
      </c>
      <c r="F140" s="41">
        <v>44005</v>
      </c>
    </row>
    <row r="141" spans="1:6" x14ac:dyDescent="0.25">
      <c r="A141" s="37" t="s">
        <v>334</v>
      </c>
      <c r="B141" s="38" t="str">
        <f t="shared" si="4"/>
        <v>18</v>
      </c>
      <c r="C141" s="39" t="str">
        <f>+_xlfn.XLOOKUP(A141,Hoja3!$C$3:$C$1124,Hoja3!$B$3:$B$1124)</f>
        <v>CAQUETÁ</v>
      </c>
      <c r="D141" s="40" t="str">
        <f t="shared" si="5"/>
        <v>094</v>
      </c>
      <c r="E141" s="39" t="str">
        <f>+_xlfn.XLOOKUP(A141,Hoja3!$C$3:$C$1124,Hoja3!$D$3:$D$1124)</f>
        <v>BELÉN DE LOS ANDAQUÍES</v>
      </c>
      <c r="F141" s="41">
        <v>44013</v>
      </c>
    </row>
    <row r="142" spans="1:6" x14ac:dyDescent="0.25">
      <c r="A142" s="37" t="s">
        <v>488</v>
      </c>
      <c r="B142" s="38" t="str">
        <f t="shared" si="4"/>
        <v>25</v>
      </c>
      <c r="C142" s="39" t="str">
        <f>+_xlfn.XLOOKUP(A142,Hoja3!$C$3:$C$1124,Hoja3!$B$3:$B$1124)</f>
        <v>CUNDINAMARCA</v>
      </c>
      <c r="D142" s="40" t="str">
        <f t="shared" si="5"/>
        <v>095</v>
      </c>
      <c r="E142" s="39" t="str">
        <f>+_xlfn.XLOOKUP(A142,Hoja3!$C$3:$C$1124,Hoja3!$D$3:$D$1124)</f>
        <v>BITUIMA</v>
      </c>
      <c r="F142" s="41">
        <v>44012</v>
      </c>
    </row>
    <row r="143" spans="1:6" x14ac:dyDescent="0.25">
      <c r="A143" s="37" t="s">
        <v>209</v>
      </c>
      <c r="B143" s="38" t="str">
        <f t="shared" si="4"/>
        <v>15</v>
      </c>
      <c r="C143" s="39" t="str">
        <f>+_xlfn.XLOOKUP(A143,Hoja3!$C$3:$C$1124,Hoja3!$B$3:$B$1124)</f>
        <v>BOYACÁ</v>
      </c>
      <c r="D143" s="40" t="str">
        <f t="shared" si="5"/>
        <v>097</v>
      </c>
      <c r="E143" s="39" t="str">
        <f>+_xlfn.XLOOKUP(A143,Hoja3!$C$3:$C$1124,Hoja3!$D$3:$D$1124)</f>
        <v>BOAVITA</v>
      </c>
      <c r="F143" s="41">
        <v>44055</v>
      </c>
    </row>
    <row r="144" spans="1:6" x14ac:dyDescent="0.25">
      <c r="A144" s="37" t="s">
        <v>636</v>
      </c>
      <c r="B144" s="38" t="str">
        <f t="shared" si="4"/>
        <v>44</v>
      </c>
      <c r="C144" s="39" t="str">
        <f>+_xlfn.XLOOKUP(A144,Hoja3!$C$3:$C$1124,Hoja3!$B$3:$B$1124)</f>
        <v>LA GUAJIRA</v>
      </c>
      <c r="D144" s="40" t="str">
        <f t="shared" si="5"/>
        <v>098</v>
      </c>
      <c r="E144" s="39" t="str">
        <f>+_xlfn.XLOOKUP(A144,Hoja3!$C$3:$C$1124,Hoja3!$D$3:$D$1124)</f>
        <v>DISTRACCIÓN</v>
      </c>
      <c r="F144" s="41">
        <v>43922</v>
      </c>
    </row>
    <row r="145" spans="1:6" x14ac:dyDescent="0.25">
      <c r="A145" s="37" t="s">
        <v>433</v>
      </c>
      <c r="B145" s="38" t="str">
        <f t="shared" si="4"/>
        <v>27</v>
      </c>
      <c r="C145" s="39" t="str">
        <f>+_xlfn.XLOOKUP(A145,Hoja3!$C$3:$C$1124,Hoja3!$B$3:$B$1124)</f>
        <v>CHOCÓ</v>
      </c>
      <c r="D145" s="40" t="str">
        <f t="shared" si="5"/>
        <v>099</v>
      </c>
      <c r="E145" s="39" t="str">
        <f>+_xlfn.XLOOKUP(A145,Hoja3!$C$3:$C$1124,Hoja3!$D$3:$D$1124)</f>
        <v>BOJAYÁ</v>
      </c>
      <c r="F145" s="41">
        <v>43956</v>
      </c>
    </row>
    <row r="146" spans="1:6" x14ac:dyDescent="0.25">
      <c r="A146" s="37" t="s">
        <v>489</v>
      </c>
      <c r="B146" s="38" t="str">
        <f t="shared" si="4"/>
        <v>25</v>
      </c>
      <c r="C146" s="39" t="str">
        <f>+_xlfn.XLOOKUP(A146,Hoja3!$C$3:$C$1124,Hoja3!$B$3:$B$1124)</f>
        <v>CUNDINAMARCA</v>
      </c>
      <c r="D146" s="40" t="str">
        <f t="shared" si="5"/>
        <v>099</v>
      </c>
      <c r="E146" s="39" t="str">
        <f>+_xlfn.XLOOKUP(A146,Hoja3!$C$3:$C$1124,Hoja3!$D$3:$D$1124)</f>
        <v>BOJACÁ</v>
      </c>
      <c r="F146" s="41">
        <v>43990</v>
      </c>
    </row>
    <row r="147" spans="1:6" x14ac:dyDescent="0.25">
      <c r="A147" s="37" t="s">
        <v>767</v>
      </c>
      <c r="B147" s="38" t="str">
        <f t="shared" si="4"/>
        <v>54</v>
      </c>
      <c r="C147" s="39" t="str">
        <f>+_xlfn.XLOOKUP(A147,Hoja3!$C$3:$C$1124,Hoja3!$B$3:$B$1124)</f>
        <v>NORTE DE SANTANDER</v>
      </c>
      <c r="D147" s="40" t="str">
        <f t="shared" si="5"/>
        <v>099</v>
      </c>
      <c r="E147" s="39" t="str">
        <f>+_xlfn.XLOOKUP(A147,Hoja3!$C$3:$C$1124,Hoja3!$D$3:$D$1124)</f>
        <v>BOCHALEMA</v>
      </c>
      <c r="F147" s="41">
        <v>44000</v>
      </c>
    </row>
    <row r="148" spans="1:6" x14ac:dyDescent="0.25">
      <c r="A148" s="37" t="s">
        <v>366</v>
      </c>
      <c r="B148" s="38" t="str">
        <f t="shared" si="4"/>
        <v>19</v>
      </c>
      <c r="C148" s="39" t="str">
        <f>+_xlfn.XLOOKUP(A148,Hoja3!$C$3:$C$1124,Hoja3!$B$3:$B$1124)</f>
        <v>CAUCA</v>
      </c>
      <c r="D148" s="40" t="str">
        <f t="shared" si="5"/>
        <v>100</v>
      </c>
      <c r="E148" s="39" t="str">
        <f>+_xlfn.XLOOKUP(A148,Hoja3!$C$3:$C$1124,Hoja3!$D$3:$D$1124)</f>
        <v>BOLÍVAR</v>
      </c>
      <c r="F148" s="41">
        <v>44047</v>
      </c>
    </row>
    <row r="149" spans="1:6" x14ac:dyDescent="0.25">
      <c r="A149" s="37" t="s">
        <v>993</v>
      </c>
      <c r="B149" s="38" t="str">
        <f t="shared" si="4"/>
        <v>76</v>
      </c>
      <c r="C149" s="39" t="str">
        <f>+_xlfn.XLOOKUP(A149,Hoja3!$C$3:$C$1124,Hoja3!$B$3:$B$1124)</f>
        <v>VALLE DEL CAUCA</v>
      </c>
      <c r="D149" s="40" t="str">
        <f t="shared" si="5"/>
        <v>100</v>
      </c>
      <c r="E149" s="39" t="str">
        <f>+_xlfn.XLOOKUP(A149,Hoja3!$C$3:$C$1124,Hoja3!$D$3:$D$1124)</f>
        <v>BOLÍVAR</v>
      </c>
      <c r="F149" s="41">
        <v>44028</v>
      </c>
    </row>
    <row r="150" spans="1:6" x14ac:dyDescent="0.25">
      <c r="A150" s="37" t="s">
        <v>27</v>
      </c>
      <c r="B150" s="38" t="str">
        <f t="shared" si="4"/>
        <v>05</v>
      </c>
      <c r="C150" s="39" t="str">
        <f>+_xlfn.XLOOKUP(A150,Hoja3!$C$3:$C$1124,Hoja3!$B$3:$B$1124)</f>
        <v>ANTIOQUIA</v>
      </c>
      <c r="D150" s="40" t="str">
        <f t="shared" si="5"/>
        <v>101</v>
      </c>
      <c r="E150" s="39" t="str">
        <f>+_xlfn.XLOOKUP(A150,Hoja3!$C$3:$C$1124,Hoja3!$D$3:$D$1124)</f>
        <v>CIUDAD BOLÍVAR</v>
      </c>
      <c r="F150" s="41">
        <v>44002</v>
      </c>
    </row>
    <row r="151" spans="1:6" x14ac:dyDescent="0.25">
      <c r="A151" s="37" t="s">
        <v>851</v>
      </c>
      <c r="B151" s="38" t="str">
        <f t="shared" si="4"/>
        <v>68</v>
      </c>
      <c r="C151" s="39" t="str">
        <f>+_xlfn.XLOOKUP(A151,Hoja3!$C$3:$C$1124,Hoja3!$B$3:$B$1124)</f>
        <v>SANTANDER</v>
      </c>
      <c r="D151" s="40" t="str">
        <f t="shared" si="5"/>
        <v>101</v>
      </c>
      <c r="E151" s="39" t="str">
        <f>+_xlfn.XLOOKUP(A151,Hoja3!$C$3:$C$1124,Hoja3!$D$3:$D$1124)</f>
        <v>BOLÍVAR</v>
      </c>
      <c r="F151" s="41">
        <v>44034</v>
      </c>
    </row>
    <row r="152" spans="1:6" x14ac:dyDescent="0.25">
      <c r="A152" s="37" t="s">
        <v>210</v>
      </c>
      <c r="B152" s="38" t="str">
        <f t="shared" si="4"/>
        <v>15</v>
      </c>
      <c r="C152" s="39" t="str">
        <f>+_xlfn.XLOOKUP(A152,Hoja3!$C$3:$C$1124,Hoja3!$B$3:$B$1124)</f>
        <v>BOYACÁ</v>
      </c>
      <c r="D152" s="40" t="str">
        <f t="shared" si="5"/>
        <v>104</v>
      </c>
      <c r="E152" s="39" t="str">
        <f>+_xlfn.XLOOKUP(A152,Hoja3!$C$3:$C$1124,Hoja3!$D$3:$D$1124)</f>
        <v>BOYACÁ</v>
      </c>
      <c r="F152" s="41">
        <v>44055</v>
      </c>
    </row>
    <row r="153" spans="1:6" x14ac:dyDescent="0.25">
      <c r="A153" s="37" t="s">
        <v>211</v>
      </c>
      <c r="B153" s="38" t="str">
        <f t="shared" si="4"/>
        <v>15</v>
      </c>
      <c r="C153" s="39" t="str">
        <f>+_xlfn.XLOOKUP(A153,Hoja3!$C$3:$C$1124,Hoja3!$B$3:$B$1124)</f>
        <v>BOYACÁ</v>
      </c>
      <c r="D153" s="40" t="str">
        <f t="shared" si="5"/>
        <v>106</v>
      </c>
      <c r="E153" s="39" t="str">
        <f>+_xlfn.XLOOKUP(A153,Hoja3!$C$3:$C$1124,Hoja3!$D$3:$D$1124)</f>
        <v>BRICEÑO</v>
      </c>
      <c r="F153" s="41">
        <v>44033</v>
      </c>
    </row>
    <row r="154" spans="1:6" x14ac:dyDescent="0.25">
      <c r="A154" s="37" t="s">
        <v>28</v>
      </c>
      <c r="B154" s="38" t="str">
        <f t="shared" si="4"/>
        <v>05</v>
      </c>
      <c r="C154" s="39" t="str">
        <f>+_xlfn.XLOOKUP(A154,Hoja3!$C$3:$C$1124,Hoja3!$B$3:$B$1124)</f>
        <v>ANTIOQUIA</v>
      </c>
      <c r="D154" s="40" t="str">
        <f t="shared" si="5"/>
        <v>107</v>
      </c>
      <c r="E154" s="39" t="str">
        <f>+_xlfn.XLOOKUP(A154,Hoja3!$C$3:$C$1124,Hoja3!$D$3:$D$1124)</f>
        <v>BRICEÑO</v>
      </c>
      <c r="F154" s="41">
        <v>43970</v>
      </c>
    </row>
    <row r="155" spans="1:6" x14ac:dyDescent="0.25">
      <c r="A155" s="37" t="s">
        <v>212</v>
      </c>
      <c r="B155" s="38" t="str">
        <f t="shared" si="4"/>
        <v>15</v>
      </c>
      <c r="C155" s="39" t="str">
        <f>+_xlfn.XLOOKUP(A155,Hoja3!$C$3:$C$1124,Hoja3!$B$3:$B$1124)</f>
        <v>BOYACÁ</v>
      </c>
      <c r="D155" s="40" t="str">
        <f t="shared" si="5"/>
        <v>109</v>
      </c>
      <c r="E155" s="39" t="str">
        <f>+_xlfn.XLOOKUP(A155,Hoja3!$C$3:$C$1124,Hoja3!$D$3:$D$1124)</f>
        <v>BUENAVISTA</v>
      </c>
      <c r="F155" s="41">
        <v>43977</v>
      </c>
    </row>
    <row r="156" spans="1:6" x14ac:dyDescent="0.25">
      <c r="A156" s="37" t="s">
        <v>768</v>
      </c>
      <c r="B156" s="38" t="str">
        <f t="shared" si="4"/>
        <v>54</v>
      </c>
      <c r="C156" s="39" t="str">
        <f>+_xlfn.XLOOKUP(A156,Hoja3!$C$3:$C$1124,Hoja3!$B$3:$B$1124)</f>
        <v>NORTE DE SANTANDER</v>
      </c>
      <c r="D156" s="40" t="str">
        <f t="shared" si="5"/>
        <v>109</v>
      </c>
      <c r="E156" s="39" t="str">
        <f>+_xlfn.XLOOKUP(A156,Hoja3!$C$3:$C$1124,Hoja3!$D$3:$D$1124)</f>
        <v>BUCARASICA</v>
      </c>
      <c r="F156" s="41">
        <v>44035</v>
      </c>
    </row>
    <row r="157" spans="1:6" x14ac:dyDescent="0.25">
      <c r="A157" s="37" t="s">
        <v>305</v>
      </c>
      <c r="B157" s="38" t="str">
        <f t="shared" si="4"/>
        <v>76</v>
      </c>
      <c r="C157" s="39" t="str">
        <f>+_xlfn.XLOOKUP(A157,Hoja3!$C$3:$C$1124,Hoja3!$B$3:$B$1124)</f>
        <v>VALLE DEL CAUCA</v>
      </c>
      <c r="D157" s="40" t="str">
        <f t="shared" si="5"/>
        <v>109</v>
      </c>
      <c r="E157" s="39" t="str">
        <f>+_xlfn.XLOOKUP(A157,Hoja3!$C$3:$C$1124,Hoja3!$D$3:$D$1124)</f>
        <v>BUENAVENTURA</v>
      </c>
      <c r="F157" s="41">
        <v>43913</v>
      </c>
    </row>
    <row r="158" spans="1:6" x14ac:dyDescent="0.25">
      <c r="A158" s="37" t="s">
        <v>367</v>
      </c>
      <c r="B158" s="38" t="str">
        <f t="shared" si="4"/>
        <v>19</v>
      </c>
      <c r="C158" s="39" t="str">
        <f>+_xlfn.XLOOKUP(A158,Hoja3!$C$3:$C$1124,Hoja3!$B$3:$B$1124)</f>
        <v>CAUCA</v>
      </c>
      <c r="D158" s="40" t="str">
        <f t="shared" si="5"/>
        <v>110</v>
      </c>
      <c r="E158" s="39" t="str">
        <f>+_xlfn.XLOOKUP(A158,Hoja3!$C$3:$C$1124,Hoja3!$D$3:$D$1124)</f>
        <v>BUENOS AIRES</v>
      </c>
      <c r="F158" s="41">
        <v>43956</v>
      </c>
    </row>
    <row r="159" spans="1:6" x14ac:dyDescent="0.25">
      <c r="A159" s="37" t="s">
        <v>637</v>
      </c>
      <c r="B159" s="38" t="str">
        <f t="shared" si="4"/>
        <v>44</v>
      </c>
      <c r="C159" s="39" t="str">
        <f>+_xlfn.XLOOKUP(A159,Hoja3!$C$3:$C$1124,Hoja3!$B$3:$B$1124)</f>
        <v>LA GUAJIRA</v>
      </c>
      <c r="D159" s="40" t="str">
        <f t="shared" si="5"/>
        <v>110</v>
      </c>
      <c r="E159" s="39" t="str">
        <f>+_xlfn.XLOOKUP(A159,Hoja3!$C$3:$C$1124,Hoja3!$D$3:$D$1124)</f>
        <v>EL MOLINO</v>
      </c>
      <c r="F159" s="41">
        <v>44011</v>
      </c>
    </row>
    <row r="160" spans="1:6" x14ac:dyDescent="0.25">
      <c r="A160" s="37" t="s">
        <v>678</v>
      </c>
      <c r="B160" s="38" t="str">
        <f t="shared" si="4"/>
        <v>50</v>
      </c>
      <c r="C160" s="39" t="str">
        <f>+_xlfn.XLOOKUP(A160,Hoja3!$C$3:$C$1124,Hoja3!$B$3:$B$1124)</f>
        <v>META</v>
      </c>
      <c r="D160" s="40" t="str">
        <f t="shared" si="5"/>
        <v>110</v>
      </c>
      <c r="E160" s="39" t="str">
        <f>+_xlfn.XLOOKUP(A160,Hoja3!$C$3:$C$1124,Hoja3!$D$3:$D$1124)</f>
        <v>BARRANCA DE UPÍA</v>
      </c>
      <c r="F160" s="41">
        <v>44067</v>
      </c>
    </row>
    <row r="161" spans="1:6" x14ac:dyDescent="0.25">
      <c r="A161" s="37" t="s">
        <v>709</v>
      </c>
      <c r="B161" s="38" t="str">
        <f t="shared" si="4"/>
        <v>52</v>
      </c>
      <c r="C161" s="39" t="str">
        <f>+_xlfn.XLOOKUP(A161,Hoja3!$C$3:$C$1124,Hoja3!$B$3:$B$1124)</f>
        <v>NARIÑO</v>
      </c>
      <c r="D161" s="40" t="str">
        <f t="shared" si="5"/>
        <v>110</v>
      </c>
      <c r="E161" s="39" t="str">
        <f>+_xlfn.XLOOKUP(A161,Hoja3!$C$3:$C$1124,Hoja3!$D$3:$D$1124)</f>
        <v>BUESACO</v>
      </c>
      <c r="F161" s="41">
        <v>44020</v>
      </c>
    </row>
    <row r="162" spans="1:6" x14ac:dyDescent="0.25">
      <c r="A162" s="37" t="s">
        <v>920</v>
      </c>
      <c r="B162" s="38" t="str">
        <f t="shared" si="4"/>
        <v>70</v>
      </c>
      <c r="C162" s="39" t="str">
        <f>+_xlfn.XLOOKUP(A162,Hoja3!$C$3:$C$1124,Hoja3!$B$3:$B$1124)</f>
        <v>SUCRE</v>
      </c>
      <c r="D162" s="40" t="str">
        <f t="shared" si="5"/>
        <v>110</v>
      </c>
      <c r="E162" s="39" t="str">
        <f>+_xlfn.XLOOKUP(A162,Hoja3!$C$3:$C$1124,Hoja3!$D$3:$D$1124)</f>
        <v>BUENAVISTA</v>
      </c>
      <c r="F162" s="41">
        <v>43970</v>
      </c>
    </row>
    <row r="163" spans="1:6" x14ac:dyDescent="0.25">
      <c r="A163" s="37" t="s">
        <v>817</v>
      </c>
      <c r="B163" s="38" t="str">
        <f t="shared" si="4"/>
        <v>63</v>
      </c>
      <c r="C163" s="39" t="str">
        <f>+_xlfn.XLOOKUP(A163,Hoja3!$C$3:$C$1124,Hoja3!$B$3:$B$1124)</f>
        <v>QUINDÍO</v>
      </c>
      <c r="D163" s="40" t="str">
        <f t="shared" si="5"/>
        <v>111</v>
      </c>
      <c r="E163" s="39" t="str">
        <f>+_xlfn.XLOOKUP(A163,Hoja3!$C$3:$C$1124,Hoja3!$D$3:$D$1124)</f>
        <v>BUENAVISTA</v>
      </c>
      <c r="F163" s="41">
        <v>44037</v>
      </c>
    </row>
    <row r="164" spans="1:6" x14ac:dyDescent="0.25">
      <c r="A164" s="37" t="s">
        <v>994</v>
      </c>
      <c r="B164" s="38" t="str">
        <f t="shared" si="4"/>
        <v>76</v>
      </c>
      <c r="C164" s="39" t="str">
        <f>+_xlfn.XLOOKUP(A164,Hoja3!$C$3:$C$1124,Hoja3!$B$3:$B$1124)</f>
        <v>VALLE DEL CAUCA</v>
      </c>
      <c r="D164" s="40" t="str">
        <f t="shared" si="5"/>
        <v>111</v>
      </c>
      <c r="E164" s="39" t="str">
        <f>+_xlfn.XLOOKUP(A164,Hoja3!$C$3:$C$1124,Hoja3!$D$3:$D$1124)</f>
        <v>GUADALAJARA DE BUGA</v>
      </c>
      <c r="F164" s="41">
        <v>43891</v>
      </c>
    </row>
    <row r="165" spans="1:6" x14ac:dyDescent="0.25">
      <c r="A165" s="37" t="s">
        <v>29</v>
      </c>
      <c r="B165" s="38" t="str">
        <f t="shared" si="4"/>
        <v>05</v>
      </c>
      <c r="C165" s="39" t="str">
        <f>+_xlfn.XLOOKUP(A165,Hoja3!$C$3:$C$1124,Hoja3!$B$3:$B$1124)</f>
        <v>ANTIOQUIA</v>
      </c>
      <c r="D165" s="40" t="str">
        <f t="shared" si="5"/>
        <v>113</v>
      </c>
      <c r="E165" s="39" t="str">
        <f>+_xlfn.XLOOKUP(A165,Hoja3!$C$3:$C$1124,Hoja3!$D$3:$D$1124)</f>
        <v>BURITICÁ</v>
      </c>
      <c r="F165" s="41">
        <v>43922</v>
      </c>
    </row>
    <row r="166" spans="1:6" x14ac:dyDescent="0.25">
      <c r="A166" s="37" t="s">
        <v>995</v>
      </c>
      <c r="B166" s="38" t="str">
        <f t="shared" si="4"/>
        <v>76</v>
      </c>
      <c r="C166" s="39" t="str">
        <f>+_xlfn.XLOOKUP(A166,Hoja3!$C$3:$C$1124,Hoja3!$B$3:$B$1124)</f>
        <v>VALLE DEL CAUCA</v>
      </c>
      <c r="D166" s="40" t="str">
        <f t="shared" si="5"/>
        <v>113</v>
      </c>
      <c r="E166" s="39" t="str">
        <f>+_xlfn.XLOOKUP(A166,Hoja3!$C$3:$C$1124,Hoja3!$D$3:$D$1124)</f>
        <v>BUGALAGRANDE</v>
      </c>
      <c r="F166" s="41">
        <v>43922</v>
      </c>
    </row>
    <row r="167" spans="1:6" x14ac:dyDescent="0.25">
      <c r="A167" s="38" t="s">
        <v>2059</v>
      </c>
      <c r="B167" s="38" t="str">
        <f t="shared" si="4"/>
        <v>15</v>
      </c>
      <c r="C167" s="39" t="str">
        <f>+_xlfn.XLOOKUP(A167,Hoja3!$C$3:$C$1124,Hoja3!$B$3:$B$1124)</f>
        <v>BOYACÁ</v>
      </c>
      <c r="D167" s="40" t="str">
        <f t="shared" si="5"/>
        <v>114</v>
      </c>
      <c r="E167" s="39" t="str">
        <f>+_xlfn.XLOOKUP(A167,Hoja3!$C$3:$C$1124,Hoja3!$D$3:$D$1124)</f>
        <v>BUSBANZÁ</v>
      </c>
      <c r="F167" s="42">
        <v>45658</v>
      </c>
    </row>
    <row r="168" spans="1:6" x14ac:dyDescent="0.25">
      <c r="A168" s="37" t="s">
        <v>30</v>
      </c>
      <c r="B168" s="38" t="str">
        <f t="shared" si="4"/>
        <v>05</v>
      </c>
      <c r="C168" s="39" t="str">
        <f>+_xlfn.XLOOKUP(A168,Hoja3!$C$3:$C$1124,Hoja3!$B$3:$B$1124)</f>
        <v>ANTIOQUIA</v>
      </c>
      <c r="D168" s="40" t="str">
        <f t="shared" si="5"/>
        <v>120</v>
      </c>
      <c r="E168" s="39" t="str">
        <f>+_xlfn.XLOOKUP(A168,Hoja3!$C$3:$C$1124,Hoja3!$D$3:$D$1124)</f>
        <v>CÁCERES</v>
      </c>
      <c r="F168" s="41">
        <v>43900</v>
      </c>
    </row>
    <row r="169" spans="1:6" x14ac:dyDescent="0.25">
      <c r="A169" s="37" t="s">
        <v>490</v>
      </c>
      <c r="B169" s="38" t="str">
        <f t="shared" si="4"/>
        <v>25</v>
      </c>
      <c r="C169" s="39" t="str">
        <f>+_xlfn.XLOOKUP(A169,Hoja3!$C$3:$C$1124,Hoja3!$B$3:$B$1124)</f>
        <v>CUNDINAMARCA</v>
      </c>
      <c r="D169" s="40" t="str">
        <f t="shared" si="5"/>
        <v>120</v>
      </c>
      <c r="E169" s="39" t="str">
        <f>+_xlfn.XLOOKUP(A169,Hoja3!$C$3:$C$1124,Hoja3!$D$3:$D$1124)</f>
        <v>CABRERA</v>
      </c>
      <c r="F169" s="41">
        <v>43977</v>
      </c>
    </row>
    <row r="170" spans="1:6" x14ac:dyDescent="0.25">
      <c r="A170" s="38" t="s">
        <v>2085</v>
      </c>
      <c r="B170" s="38" t="str">
        <f t="shared" si="4"/>
        <v>68</v>
      </c>
      <c r="C170" s="39" t="str">
        <f>+_xlfn.XLOOKUP(A170,Hoja3!$C$3:$C$1124,Hoja3!$B$3:$B$1124)</f>
        <v>SANTANDER</v>
      </c>
      <c r="D170" s="40" t="str">
        <f t="shared" si="5"/>
        <v>121</v>
      </c>
      <c r="E170" s="39" t="str">
        <f>+_xlfn.XLOOKUP(A170,Hoja3!$C$3:$C$1124,Hoja3!$D$3:$D$1124)</f>
        <v>CABRERA</v>
      </c>
      <c r="F170" s="42">
        <v>45658</v>
      </c>
    </row>
    <row r="171" spans="1:6" x14ac:dyDescent="0.25">
      <c r="A171" s="37" t="s">
        <v>996</v>
      </c>
      <c r="B171" s="38" t="str">
        <f t="shared" si="4"/>
        <v>76</v>
      </c>
      <c r="C171" s="39" t="str">
        <f>+_xlfn.XLOOKUP(A171,Hoja3!$C$3:$C$1124,Hoja3!$B$3:$B$1124)</f>
        <v>VALLE DEL CAUCA</v>
      </c>
      <c r="D171" s="40" t="str">
        <f t="shared" si="5"/>
        <v>122</v>
      </c>
      <c r="E171" s="39" t="str">
        <f>+_xlfn.XLOOKUP(A171,Hoja3!$C$3:$C$1124,Hoja3!$D$3:$D$1124)</f>
        <v>CAICEDONIA</v>
      </c>
      <c r="F171" s="41">
        <v>43992</v>
      </c>
    </row>
    <row r="172" spans="1:6" x14ac:dyDescent="0.25">
      <c r="A172" s="37" t="s">
        <v>491</v>
      </c>
      <c r="B172" s="38" t="str">
        <f t="shared" si="4"/>
        <v>25</v>
      </c>
      <c r="C172" s="39" t="str">
        <f>+_xlfn.XLOOKUP(A172,Hoja3!$C$3:$C$1124,Hoja3!$B$3:$B$1124)</f>
        <v>CUNDINAMARCA</v>
      </c>
      <c r="D172" s="40" t="str">
        <f t="shared" si="5"/>
        <v>123</v>
      </c>
      <c r="E172" s="39" t="str">
        <f>+_xlfn.XLOOKUP(A172,Hoja3!$C$3:$C$1124,Hoja3!$D$3:$D$1124)</f>
        <v>CACHIPAY</v>
      </c>
      <c r="F172" s="41">
        <v>43981</v>
      </c>
    </row>
    <row r="173" spans="1:6" x14ac:dyDescent="0.25">
      <c r="A173" s="37" t="s">
        <v>679</v>
      </c>
      <c r="B173" s="38" t="str">
        <f t="shared" si="4"/>
        <v>50</v>
      </c>
      <c r="C173" s="39" t="str">
        <f>+_xlfn.XLOOKUP(A173,Hoja3!$C$3:$C$1124,Hoja3!$B$3:$B$1124)</f>
        <v>META</v>
      </c>
      <c r="D173" s="40" t="str">
        <f t="shared" si="5"/>
        <v>124</v>
      </c>
      <c r="E173" s="39" t="str">
        <f>+_xlfn.XLOOKUP(A173,Hoja3!$C$3:$C$1124,Hoja3!$D$3:$D$1124)</f>
        <v>CABUYARO</v>
      </c>
      <c r="F173" s="41">
        <v>43964</v>
      </c>
    </row>
    <row r="174" spans="1:6" x14ac:dyDescent="0.25">
      <c r="A174" s="37" t="s">
        <v>921</v>
      </c>
      <c r="B174" s="38" t="str">
        <f t="shared" si="4"/>
        <v>70</v>
      </c>
      <c r="C174" s="39" t="str">
        <f>+_xlfn.XLOOKUP(A174,Hoja3!$C$3:$C$1124,Hoja3!$B$3:$B$1124)</f>
        <v>SUCRE</v>
      </c>
      <c r="D174" s="40" t="str">
        <f t="shared" si="5"/>
        <v>124</v>
      </c>
      <c r="E174" s="39" t="str">
        <f>+_xlfn.XLOOKUP(A174,Hoja3!$C$3:$C$1124,Hoja3!$D$3:$D$1124)</f>
        <v>CAIMITO</v>
      </c>
      <c r="F174" s="41">
        <v>43986</v>
      </c>
    </row>
    <row r="175" spans="1:6" x14ac:dyDescent="0.25">
      <c r="A175" s="37" t="s">
        <v>952</v>
      </c>
      <c r="B175" s="38" t="str">
        <f t="shared" si="4"/>
        <v>73</v>
      </c>
      <c r="C175" s="39" t="str">
        <f>+_xlfn.XLOOKUP(A175,Hoja3!$C$3:$C$1124,Hoja3!$B$3:$B$1124)</f>
        <v>TOLIMA</v>
      </c>
      <c r="D175" s="40" t="str">
        <f t="shared" si="5"/>
        <v>124</v>
      </c>
      <c r="E175" s="39" t="str">
        <f>+_xlfn.XLOOKUP(A175,Hoja3!$C$3:$C$1124,Hoja3!$D$3:$D$1124)</f>
        <v>CAJAMARCA</v>
      </c>
      <c r="F175" s="41">
        <v>44032</v>
      </c>
    </row>
    <row r="176" spans="1:6" x14ac:dyDescent="0.25">
      <c r="A176" s="37" t="s">
        <v>31</v>
      </c>
      <c r="B176" s="38" t="str">
        <f t="shared" si="4"/>
        <v>05</v>
      </c>
      <c r="C176" s="39" t="str">
        <f>+_xlfn.XLOOKUP(A176,Hoja3!$C$3:$C$1124,Hoja3!$B$3:$B$1124)</f>
        <v>ANTIOQUIA</v>
      </c>
      <c r="D176" s="40" t="str">
        <f t="shared" si="5"/>
        <v>125</v>
      </c>
      <c r="E176" s="39" t="str">
        <f>+_xlfn.XLOOKUP(A176,Hoja3!$C$3:$C$1124,Hoja3!$D$3:$D$1124)</f>
        <v>CAICEDO</v>
      </c>
      <c r="F176" s="41">
        <v>44006</v>
      </c>
    </row>
    <row r="177" spans="1:6" x14ac:dyDescent="0.25">
      <c r="A177" s="37" t="s">
        <v>351</v>
      </c>
      <c r="B177" s="38" t="str">
        <f t="shared" si="4"/>
        <v>85</v>
      </c>
      <c r="C177" s="39" t="str">
        <f>+_xlfn.XLOOKUP(A177,Hoja3!$C$3:$C$1124,Hoja3!$B$3:$B$1124)</f>
        <v>CASANARE</v>
      </c>
      <c r="D177" s="40" t="str">
        <f t="shared" si="5"/>
        <v>125</v>
      </c>
      <c r="E177" s="39" t="str">
        <f>+_xlfn.XLOOKUP(A177,Hoja3!$C$3:$C$1124,Hoja3!$D$3:$D$1124)</f>
        <v>HATO COROZAL</v>
      </c>
      <c r="F177" s="41">
        <v>44031</v>
      </c>
    </row>
    <row r="178" spans="1:6" x14ac:dyDescent="0.25">
      <c r="A178" s="37" t="s">
        <v>769</v>
      </c>
      <c r="B178" s="38" t="str">
        <f t="shared" si="4"/>
        <v>54</v>
      </c>
      <c r="C178" s="39" t="str">
        <f>+_xlfn.XLOOKUP(A178,Hoja3!$C$3:$C$1124,Hoja3!$B$3:$B$1124)</f>
        <v>NORTE DE SANTANDER</v>
      </c>
      <c r="D178" s="40" t="str">
        <f t="shared" si="5"/>
        <v>125</v>
      </c>
      <c r="E178" s="39" t="str">
        <f>+_xlfn.XLOOKUP(A178,Hoja3!$C$3:$C$1124,Hoja3!$D$3:$D$1124)</f>
        <v>CÁCOTA</v>
      </c>
      <c r="F178" s="41">
        <v>43943</v>
      </c>
    </row>
    <row r="179" spans="1:6" x14ac:dyDescent="0.25">
      <c r="A179" s="37" t="s">
        <v>492</v>
      </c>
      <c r="B179" s="38" t="str">
        <f t="shared" si="4"/>
        <v>25</v>
      </c>
      <c r="C179" s="39" t="str">
        <f>+_xlfn.XLOOKUP(A179,Hoja3!$C$3:$C$1124,Hoja3!$B$3:$B$1124)</f>
        <v>CUNDINAMARCA</v>
      </c>
      <c r="D179" s="40" t="str">
        <f t="shared" si="5"/>
        <v>126</v>
      </c>
      <c r="E179" s="39" t="str">
        <f>+_xlfn.XLOOKUP(A179,Hoja3!$C$3:$C$1124,Hoja3!$D$3:$D$1124)</f>
        <v>CAJICÁ</v>
      </c>
      <c r="F179" s="41">
        <v>43898</v>
      </c>
    </row>
    <row r="180" spans="1:6" x14ac:dyDescent="0.25">
      <c r="A180" s="37" t="s">
        <v>997</v>
      </c>
      <c r="B180" s="38" t="str">
        <f t="shared" si="4"/>
        <v>76</v>
      </c>
      <c r="C180" s="39" t="str">
        <f>+_xlfn.XLOOKUP(A180,Hoja3!$C$3:$C$1124,Hoja3!$B$3:$B$1124)</f>
        <v>VALLE DEL CAUCA</v>
      </c>
      <c r="D180" s="40" t="str">
        <f t="shared" si="5"/>
        <v>126</v>
      </c>
      <c r="E180" s="39" t="str">
        <f>+_xlfn.XLOOKUP(A180,Hoja3!$C$3:$C$1124,Hoja3!$D$3:$D$1124)</f>
        <v>CALIMA</v>
      </c>
      <c r="F180" s="41">
        <v>43905</v>
      </c>
    </row>
    <row r="181" spans="1:6" x14ac:dyDescent="0.25">
      <c r="A181" s="37" t="s">
        <v>770</v>
      </c>
      <c r="B181" s="38" t="str">
        <f t="shared" si="4"/>
        <v>54</v>
      </c>
      <c r="C181" s="39" t="str">
        <f>+_xlfn.XLOOKUP(A181,Hoja3!$C$3:$C$1124,Hoja3!$B$3:$B$1124)</f>
        <v>NORTE DE SANTANDER</v>
      </c>
      <c r="D181" s="40" t="str">
        <f t="shared" si="5"/>
        <v>128</v>
      </c>
      <c r="E181" s="39" t="str">
        <f>+_xlfn.XLOOKUP(A181,Hoja3!$C$3:$C$1124,Hoja3!$D$3:$D$1124)</f>
        <v>CÁCHIRA</v>
      </c>
      <c r="F181" s="41">
        <v>44059</v>
      </c>
    </row>
    <row r="182" spans="1:6" x14ac:dyDescent="0.25">
      <c r="A182" s="37" t="s">
        <v>32</v>
      </c>
      <c r="B182" s="38" t="str">
        <f t="shared" si="4"/>
        <v>05</v>
      </c>
      <c r="C182" s="39" t="str">
        <f>+_xlfn.XLOOKUP(A182,Hoja3!$C$3:$C$1124,Hoja3!$B$3:$B$1124)</f>
        <v>ANTIOQUIA</v>
      </c>
      <c r="D182" s="40" t="str">
        <f t="shared" si="5"/>
        <v>129</v>
      </c>
      <c r="E182" s="39" t="str">
        <f>+_xlfn.XLOOKUP(A182,Hoja3!$C$3:$C$1124,Hoja3!$D$3:$D$1124)</f>
        <v>CALDAS</v>
      </c>
      <c r="F182" s="41">
        <v>43910</v>
      </c>
    </row>
    <row r="183" spans="1:6" x14ac:dyDescent="0.25">
      <c r="A183" s="37" t="s">
        <v>368</v>
      </c>
      <c r="B183" s="38" t="str">
        <f t="shared" si="4"/>
        <v>19</v>
      </c>
      <c r="C183" s="39" t="str">
        <f>+_xlfn.XLOOKUP(A183,Hoja3!$C$3:$C$1124,Hoja3!$B$3:$B$1124)</f>
        <v>CAUCA</v>
      </c>
      <c r="D183" s="40" t="str">
        <f t="shared" si="5"/>
        <v>130</v>
      </c>
      <c r="E183" s="39" t="str">
        <f>+_xlfn.XLOOKUP(A183,Hoja3!$C$3:$C$1124,Hoja3!$D$3:$D$1124)</f>
        <v>CAJIBÍO</v>
      </c>
      <c r="F183" s="41">
        <v>43988</v>
      </c>
    </row>
    <row r="184" spans="1:6" x14ac:dyDescent="0.25">
      <c r="A184" s="37" t="s">
        <v>818</v>
      </c>
      <c r="B184" s="38" t="str">
        <f t="shared" si="4"/>
        <v>63</v>
      </c>
      <c r="C184" s="39" t="str">
        <f>+_xlfn.XLOOKUP(A184,Hoja3!$C$3:$C$1124,Hoja3!$B$3:$B$1124)</f>
        <v>QUINDÍO</v>
      </c>
      <c r="D184" s="40" t="str">
        <f t="shared" si="5"/>
        <v>130</v>
      </c>
      <c r="E184" s="39" t="str">
        <f>+_xlfn.XLOOKUP(A184,Hoja3!$C$3:$C$1124,Hoja3!$D$3:$D$1124)</f>
        <v>CALARCÁ</v>
      </c>
      <c r="F184" s="41">
        <v>43907</v>
      </c>
    </row>
    <row r="185" spans="1:6" x14ac:dyDescent="0.25">
      <c r="A185" s="37" t="s">
        <v>998</v>
      </c>
      <c r="B185" s="38" t="str">
        <f t="shared" si="4"/>
        <v>76</v>
      </c>
      <c r="C185" s="39" t="str">
        <f>+_xlfn.XLOOKUP(A185,Hoja3!$C$3:$C$1124,Hoja3!$B$3:$B$1124)</f>
        <v>VALLE DEL CAUCA</v>
      </c>
      <c r="D185" s="40" t="str">
        <f t="shared" si="5"/>
        <v>130</v>
      </c>
      <c r="E185" s="39" t="str">
        <f>+_xlfn.XLOOKUP(A185,Hoja3!$C$3:$C$1124,Hoja3!$D$3:$D$1124)</f>
        <v>CANDELARIA</v>
      </c>
      <c r="F185" s="41">
        <v>43913</v>
      </c>
    </row>
    <row r="186" spans="1:6" x14ac:dyDescent="0.25">
      <c r="A186" s="37" t="s">
        <v>213</v>
      </c>
      <c r="B186" s="38" t="str">
        <f t="shared" si="4"/>
        <v>15</v>
      </c>
      <c r="C186" s="39" t="str">
        <f>+_xlfn.XLOOKUP(A186,Hoja3!$C$3:$C$1124,Hoja3!$B$3:$B$1124)</f>
        <v>BOYACÁ</v>
      </c>
      <c r="D186" s="40" t="str">
        <f t="shared" si="5"/>
        <v>131</v>
      </c>
      <c r="E186" s="39" t="str">
        <f>+_xlfn.XLOOKUP(A186,Hoja3!$C$3:$C$1124,Hoja3!$D$3:$D$1124)</f>
        <v>CALDAS</v>
      </c>
      <c r="F186" s="41">
        <v>43943</v>
      </c>
    </row>
    <row r="187" spans="1:6" x14ac:dyDescent="0.25">
      <c r="A187" s="37" t="s">
        <v>602</v>
      </c>
      <c r="B187" s="38" t="str">
        <f t="shared" si="4"/>
        <v>41</v>
      </c>
      <c r="C187" s="39" t="str">
        <f>+_xlfn.XLOOKUP(A187,Hoja3!$C$3:$C$1124,Hoja3!$B$3:$B$1124)</f>
        <v>HUILA</v>
      </c>
      <c r="D187" s="40" t="str">
        <f t="shared" si="5"/>
        <v>132</v>
      </c>
      <c r="E187" s="39" t="str">
        <f>+_xlfn.XLOOKUP(A187,Hoja3!$C$3:$C$1124,Hoja3!$D$3:$D$1124)</f>
        <v>CAMPOALEGRE</v>
      </c>
      <c r="F187" s="41">
        <v>43959</v>
      </c>
    </row>
    <row r="188" spans="1:6" x14ac:dyDescent="0.25">
      <c r="A188" s="37" t="s">
        <v>852</v>
      </c>
      <c r="B188" s="38" t="str">
        <f t="shared" si="4"/>
        <v>68</v>
      </c>
      <c r="C188" s="39" t="str">
        <f>+_xlfn.XLOOKUP(A188,Hoja3!$C$3:$C$1124,Hoja3!$B$3:$B$1124)</f>
        <v>SANTANDER</v>
      </c>
      <c r="D188" s="40" t="str">
        <f t="shared" si="5"/>
        <v>132</v>
      </c>
      <c r="E188" s="39" t="str">
        <f>+_xlfn.XLOOKUP(A188,Hoja3!$C$3:$C$1124,Hoja3!$D$3:$D$1124)</f>
        <v>CALIFORNIA</v>
      </c>
      <c r="F188" s="41">
        <v>44027</v>
      </c>
    </row>
    <row r="189" spans="1:6" x14ac:dyDescent="0.25">
      <c r="A189" s="37" t="s">
        <v>33</v>
      </c>
      <c r="B189" s="38" t="str">
        <f t="shared" si="4"/>
        <v>05</v>
      </c>
      <c r="C189" s="39" t="str">
        <f>+_xlfn.XLOOKUP(A189,Hoja3!$C$3:$C$1124,Hoja3!$B$3:$B$1124)</f>
        <v>ANTIOQUIA</v>
      </c>
      <c r="D189" s="40" t="str">
        <f t="shared" si="5"/>
        <v>134</v>
      </c>
      <c r="E189" s="39" t="str">
        <f>+_xlfn.XLOOKUP(A189,Hoja3!$C$3:$C$1124,Hoja3!$D$3:$D$1124)</f>
        <v>CAMPAMENTO</v>
      </c>
      <c r="F189" s="41">
        <v>44014</v>
      </c>
    </row>
    <row r="190" spans="1:6" x14ac:dyDescent="0.25">
      <c r="A190" s="37" t="s">
        <v>434</v>
      </c>
      <c r="B190" s="38" t="str">
        <f t="shared" si="4"/>
        <v>27</v>
      </c>
      <c r="C190" s="39" t="str">
        <f>+_xlfn.XLOOKUP(A190,Hoja3!$C$3:$C$1124,Hoja3!$B$3:$B$1124)</f>
        <v>CHOCÓ</v>
      </c>
      <c r="D190" s="40" t="str">
        <f t="shared" si="5"/>
        <v>135</v>
      </c>
      <c r="E190" s="39" t="str">
        <f>+_xlfn.XLOOKUP(A190,Hoja3!$C$3:$C$1124,Hoja3!$D$3:$D$1124)</f>
        <v>EL CANTÓN DEL SAN PABLO</v>
      </c>
      <c r="F190" s="41">
        <v>43981</v>
      </c>
    </row>
    <row r="191" spans="1:6" x14ac:dyDescent="0.25">
      <c r="A191" s="38" t="s">
        <v>2080</v>
      </c>
      <c r="B191" s="38" t="str">
        <f t="shared" si="4"/>
        <v>15</v>
      </c>
      <c r="C191" s="39" t="str">
        <f>+_xlfn.XLOOKUP(A191,Hoja3!$C$3:$C$1124,Hoja3!$B$3:$B$1124)</f>
        <v>BOYACÁ</v>
      </c>
      <c r="D191" s="40" t="str">
        <f t="shared" si="5"/>
        <v>135</v>
      </c>
      <c r="E191" s="39" t="str">
        <f>+_xlfn.XLOOKUP(A191,Hoja3!$C$3:$C$1124,Hoja3!$D$3:$D$1124)</f>
        <v>CAMPOHERMOSO</v>
      </c>
      <c r="F191" s="42">
        <v>45658</v>
      </c>
    </row>
    <row r="192" spans="1:6" x14ac:dyDescent="0.25">
      <c r="A192" s="38" t="s">
        <v>2108</v>
      </c>
      <c r="B192" s="38" t="str">
        <f t="shared" si="4"/>
        <v>85</v>
      </c>
      <c r="C192" s="39" t="str">
        <f>+_xlfn.XLOOKUP(A192,Hoja3!$C$3:$C$1124,Hoja3!$B$3:$B$1124)</f>
        <v>CASANARE</v>
      </c>
      <c r="D192" s="40" t="str">
        <f t="shared" si="5"/>
        <v>136</v>
      </c>
      <c r="E192" s="39" t="str">
        <f>+_xlfn.XLOOKUP(A192,Hoja3!$C$3:$C$1124,Hoja3!$D$3:$D$1124)</f>
        <v>LA SALINA</v>
      </c>
      <c r="F192" s="42">
        <v>45658</v>
      </c>
    </row>
    <row r="193" spans="1:6" x14ac:dyDescent="0.25">
      <c r="A193" s="37" t="s">
        <v>137</v>
      </c>
      <c r="B193" s="38" t="str">
        <f t="shared" si="4"/>
        <v>08</v>
      </c>
      <c r="C193" s="39" t="str">
        <f>+_xlfn.XLOOKUP(A193,Hoja3!$C$3:$C$1124,Hoja3!$B$3:$B$1124)</f>
        <v>ATLÁNTICO</v>
      </c>
      <c r="D193" s="40" t="str">
        <f t="shared" si="5"/>
        <v>137</v>
      </c>
      <c r="E193" s="39" t="str">
        <f>+_xlfn.XLOOKUP(A193,Hoja3!$C$3:$C$1124,Hoja3!$D$3:$D$1124)</f>
        <v>CAMPO DE LA CRUZ</v>
      </c>
      <c r="F193" s="41">
        <v>43955</v>
      </c>
    </row>
    <row r="194" spans="1:6" x14ac:dyDescent="0.25">
      <c r="A194" s="37" t="s">
        <v>369</v>
      </c>
      <c r="B194" s="38" t="str">
        <f t="shared" ref="B194:B257" si="6">MID(A194,1,2)</f>
        <v>19</v>
      </c>
      <c r="C194" s="39" t="str">
        <f>+_xlfn.XLOOKUP(A194,Hoja3!$C$3:$C$1124,Hoja3!$B$3:$B$1124)</f>
        <v>CAUCA</v>
      </c>
      <c r="D194" s="40" t="str">
        <f t="shared" ref="D194:D257" si="7">MID(A194,3,3)</f>
        <v>137</v>
      </c>
      <c r="E194" s="39" t="str">
        <f>+_xlfn.XLOOKUP(A194,Hoja3!$C$3:$C$1124,Hoja3!$D$3:$D$1124)</f>
        <v>CALDONO</v>
      </c>
      <c r="F194" s="41">
        <v>43991</v>
      </c>
    </row>
    <row r="195" spans="1:6" x14ac:dyDescent="0.25">
      <c r="A195" s="37" t="s">
        <v>34</v>
      </c>
      <c r="B195" s="38" t="str">
        <f t="shared" si="6"/>
        <v>05</v>
      </c>
      <c r="C195" s="39" t="str">
        <f>+_xlfn.XLOOKUP(A195,Hoja3!$C$3:$C$1124,Hoja3!$B$3:$B$1124)</f>
        <v>ANTIOQUIA</v>
      </c>
      <c r="D195" s="40" t="str">
        <f t="shared" si="7"/>
        <v>138</v>
      </c>
      <c r="E195" s="39" t="str">
        <f>+_xlfn.XLOOKUP(A195,Hoja3!$C$3:$C$1124,Hoja3!$D$3:$D$1124)</f>
        <v>CAÑASGORDAS</v>
      </c>
      <c r="F195" s="41">
        <v>43980</v>
      </c>
    </row>
    <row r="196" spans="1:6" x14ac:dyDescent="0.25">
      <c r="A196" s="37" t="s">
        <v>352</v>
      </c>
      <c r="B196" s="38" t="str">
        <f t="shared" si="6"/>
        <v>85</v>
      </c>
      <c r="C196" s="39" t="str">
        <f>+_xlfn.XLOOKUP(A196,Hoja3!$C$3:$C$1124,Hoja3!$B$3:$B$1124)</f>
        <v>CASANARE</v>
      </c>
      <c r="D196" s="40" t="str">
        <f t="shared" si="7"/>
        <v>139</v>
      </c>
      <c r="E196" s="39" t="str">
        <f>+_xlfn.XLOOKUP(A196,Hoja3!$C$3:$C$1124,Hoja3!$D$3:$D$1124)</f>
        <v>MANÍ</v>
      </c>
      <c r="F196" s="41">
        <v>43990</v>
      </c>
    </row>
    <row r="197" spans="1:6" x14ac:dyDescent="0.25">
      <c r="A197" s="37" t="s">
        <v>166</v>
      </c>
      <c r="B197" s="38" t="str">
        <f t="shared" si="6"/>
        <v>13</v>
      </c>
      <c r="C197" s="39" t="str">
        <f>+_xlfn.XLOOKUP(A197,Hoja3!$C$3:$C$1124,Hoja3!$B$3:$B$1124)</f>
        <v>BOLÍVAR</v>
      </c>
      <c r="D197" s="40" t="str">
        <f t="shared" si="7"/>
        <v>140</v>
      </c>
      <c r="E197" s="39" t="str">
        <f>+_xlfn.XLOOKUP(A197,Hoja3!$C$3:$C$1124,Hoja3!$D$3:$D$1124)</f>
        <v>CALAMAR</v>
      </c>
      <c r="F197" s="41">
        <v>43929</v>
      </c>
    </row>
    <row r="198" spans="1:6" x14ac:dyDescent="0.25">
      <c r="A198" s="37" t="s">
        <v>138</v>
      </c>
      <c r="B198" s="38" t="str">
        <f t="shared" si="6"/>
        <v>08</v>
      </c>
      <c r="C198" s="39" t="str">
        <f>+_xlfn.XLOOKUP(A198,Hoja3!$C$3:$C$1124,Hoja3!$B$3:$B$1124)</f>
        <v>ATLÁNTICO</v>
      </c>
      <c r="D198" s="40" t="str">
        <f t="shared" si="7"/>
        <v>141</v>
      </c>
      <c r="E198" s="39" t="str">
        <f>+_xlfn.XLOOKUP(A198,Hoja3!$C$3:$C$1124,Hoja3!$D$3:$D$1124)</f>
        <v>CANDELARIA</v>
      </c>
      <c r="F198" s="41">
        <v>43955</v>
      </c>
    </row>
    <row r="199" spans="1:6" x14ac:dyDescent="0.25">
      <c r="A199" s="37" t="s">
        <v>35</v>
      </c>
      <c r="B199" s="38" t="str">
        <f t="shared" si="6"/>
        <v>05</v>
      </c>
      <c r="C199" s="39" t="str">
        <f>+_xlfn.XLOOKUP(A199,Hoja3!$C$3:$C$1124,Hoja3!$B$3:$B$1124)</f>
        <v>ANTIOQUIA</v>
      </c>
      <c r="D199" s="40" t="str">
        <f t="shared" si="7"/>
        <v>142</v>
      </c>
      <c r="E199" s="39" t="str">
        <f>+_xlfn.XLOOKUP(A199,Hoja3!$C$3:$C$1124,Hoja3!$D$3:$D$1124)</f>
        <v>CARACOLÍ</v>
      </c>
      <c r="F199" s="41">
        <v>44000</v>
      </c>
    </row>
    <row r="200" spans="1:6" x14ac:dyDescent="0.25">
      <c r="A200" s="37" t="s">
        <v>370</v>
      </c>
      <c r="B200" s="38" t="str">
        <f t="shared" si="6"/>
        <v>19</v>
      </c>
      <c r="C200" s="39" t="str">
        <f>+_xlfn.XLOOKUP(A200,Hoja3!$C$3:$C$1124,Hoja3!$B$3:$B$1124)</f>
        <v>CAUCA</v>
      </c>
      <c r="D200" s="40" t="str">
        <f t="shared" si="7"/>
        <v>142</v>
      </c>
      <c r="E200" s="39" t="str">
        <f>+_xlfn.XLOOKUP(A200,Hoja3!$C$3:$C$1124,Hoja3!$D$3:$D$1124)</f>
        <v>CALOTO</v>
      </c>
      <c r="F200" s="41">
        <v>43945</v>
      </c>
    </row>
    <row r="201" spans="1:6" x14ac:dyDescent="0.25">
      <c r="A201" s="37" t="s">
        <v>36</v>
      </c>
      <c r="B201" s="38" t="str">
        <f t="shared" si="6"/>
        <v>05</v>
      </c>
      <c r="C201" s="39" t="str">
        <f>+_xlfn.XLOOKUP(A201,Hoja3!$C$3:$C$1124,Hoja3!$B$3:$B$1124)</f>
        <v>ANTIOQUIA</v>
      </c>
      <c r="D201" s="40" t="str">
        <f t="shared" si="7"/>
        <v>145</v>
      </c>
      <c r="E201" s="39" t="str">
        <f>+_xlfn.XLOOKUP(A201,Hoja3!$C$3:$C$1124,Hoja3!$D$3:$D$1124)</f>
        <v>CARAMANTA</v>
      </c>
      <c r="F201" s="41">
        <v>44036</v>
      </c>
    </row>
    <row r="202" spans="1:6" x14ac:dyDescent="0.25">
      <c r="A202" s="37" t="s">
        <v>37</v>
      </c>
      <c r="B202" s="38" t="str">
        <f t="shared" si="6"/>
        <v>05</v>
      </c>
      <c r="C202" s="39" t="str">
        <f>+_xlfn.XLOOKUP(A202,Hoja3!$C$3:$C$1124,Hoja3!$B$3:$B$1124)</f>
        <v>ANTIOQUIA</v>
      </c>
      <c r="D202" s="40" t="str">
        <f t="shared" si="7"/>
        <v>147</v>
      </c>
      <c r="E202" s="39" t="str">
        <f>+_xlfn.XLOOKUP(A202,Hoja3!$C$3:$C$1124,Hoja3!$D$3:$D$1124)</f>
        <v>CAREPA</v>
      </c>
      <c r="F202" s="41">
        <v>43900</v>
      </c>
    </row>
    <row r="203" spans="1:6" x14ac:dyDescent="0.25">
      <c r="A203" s="37" t="s">
        <v>853</v>
      </c>
      <c r="B203" s="38" t="str">
        <f t="shared" si="6"/>
        <v>68</v>
      </c>
      <c r="C203" s="39" t="str">
        <f>+_xlfn.XLOOKUP(A203,Hoja3!$C$3:$C$1124,Hoja3!$B$3:$B$1124)</f>
        <v>SANTANDER</v>
      </c>
      <c r="D203" s="40" t="str">
        <f t="shared" si="7"/>
        <v>147</v>
      </c>
      <c r="E203" s="39" t="str">
        <f>+_xlfn.XLOOKUP(A203,Hoja3!$C$3:$C$1124,Hoja3!$D$3:$D$1124)</f>
        <v>CAPITANEJO</v>
      </c>
      <c r="F203" s="41">
        <v>44042</v>
      </c>
    </row>
    <row r="204" spans="1:6" x14ac:dyDescent="0.25">
      <c r="A204" s="37" t="s">
        <v>999</v>
      </c>
      <c r="B204" s="38" t="str">
        <f t="shared" si="6"/>
        <v>76</v>
      </c>
      <c r="C204" s="39" t="str">
        <f>+_xlfn.XLOOKUP(A204,Hoja3!$C$3:$C$1124,Hoja3!$B$3:$B$1124)</f>
        <v>VALLE DEL CAUCA</v>
      </c>
      <c r="D204" s="40" t="str">
        <f t="shared" si="7"/>
        <v>147</v>
      </c>
      <c r="E204" s="39" t="str">
        <f>+_xlfn.XLOOKUP(A204,Hoja3!$C$3:$C$1124,Hoja3!$D$3:$D$1124)</f>
        <v>CARTAGO</v>
      </c>
      <c r="F204" s="41">
        <v>43897</v>
      </c>
    </row>
    <row r="205" spans="1:6" x14ac:dyDescent="0.25">
      <c r="A205" s="37" t="s">
        <v>38</v>
      </c>
      <c r="B205" s="38" t="str">
        <f t="shared" si="6"/>
        <v>05</v>
      </c>
      <c r="C205" s="39" t="str">
        <f>+_xlfn.XLOOKUP(A205,Hoja3!$C$3:$C$1124,Hoja3!$B$3:$B$1124)</f>
        <v>ANTIOQUIA</v>
      </c>
      <c r="D205" s="40" t="str">
        <f t="shared" si="7"/>
        <v>148</v>
      </c>
      <c r="E205" s="39" t="str">
        <f>+_xlfn.XLOOKUP(A205,Hoja3!$C$3:$C$1124,Hoja3!$D$3:$D$1124)</f>
        <v>EL CARMEN DE VIBORAL</v>
      </c>
      <c r="F205" s="41">
        <v>43945</v>
      </c>
    </row>
    <row r="206" spans="1:6" x14ac:dyDescent="0.25">
      <c r="A206" s="37" t="s">
        <v>493</v>
      </c>
      <c r="B206" s="38" t="str">
        <f t="shared" si="6"/>
        <v>25</v>
      </c>
      <c r="C206" s="39" t="str">
        <f>+_xlfn.XLOOKUP(A206,Hoja3!$C$3:$C$1124,Hoja3!$B$3:$B$1124)</f>
        <v>CUNDINAMARCA</v>
      </c>
      <c r="D206" s="40" t="str">
        <f t="shared" si="7"/>
        <v>148</v>
      </c>
      <c r="E206" s="39" t="str">
        <f>+_xlfn.XLOOKUP(A206,Hoja3!$C$3:$C$1124,Hoja3!$D$3:$D$1124)</f>
        <v>CAPARRAPÍ</v>
      </c>
      <c r="F206" s="41">
        <v>44057</v>
      </c>
    </row>
    <row r="207" spans="1:6" x14ac:dyDescent="0.25">
      <c r="A207" s="37" t="s">
        <v>953</v>
      </c>
      <c r="B207" s="38" t="str">
        <f t="shared" si="6"/>
        <v>73</v>
      </c>
      <c r="C207" s="39" t="str">
        <f>+_xlfn.XLOOKUP(A207,Hoja3!$C$3:$C$1124,Hoja3!$B$3:$B$1124)</f>
        <v>TOLIMA</v>
      </c>
      <c r="D207" s="40" t="str">
        <f t="shared" si="7"/>
        <v>148</v>
      </c>
      <c r="E207" s="39" t="str">
        <f>+_xlfn.XLOOKUP(A207,Hoja3!$C$3:$C$1124,Hoja3!$D$3:$D$1124)</f>
        <v>CARMEN DE APICALÁ</v>
      </c>
      <c r="F207" s="41">
        <v>44033</v>
      </c>
    </row>
    <row r="208" spans="1:6" x14ac:dyDescent="0.25">
      <c r="A208" s="37" t="s">
        <v>39</v>
      </c>
      <c r="B208" s="38" t="str">
        <f t="shared" si="6"/>
        <v>05</v>
      </c>
      <c r="C208" s="39" t="str">
        <f>+_xlfn.XLOOKUP(A208,Hoja3!$C$3:$C$1124,Hoja3!$B$3:$B$1124)</f>
        <v>ANTIOQUIA</v>
      </c>
      <c r="D208" s="40" t="str">
        <f t="shared" si="7"/>
        <v>150</v>
      </c>
      <c r="E208" s="39" t="str">
        <f>+_xlfn.XLOOKUP(A208,Hoja3!$C$3:$C$1124,Hoja3!$D$3:$D$1124)</f>
        <v>CAROLINA</v>
      </c>
      <c r="F208" s="41">
        <v>44026</v>
      </c>
    </row>
    <row r="209" spans="1:6" x14ac:dyDescent="0.25">
      <c r="A209" s="37" t="s">
        <v>335</v>
      </c>
      <c r="B209" s="38" t="str">
        <f t="shared" si="6"/>
        <v>18</v>
      </c>
      <c r="C209" s="39" t="str">
        <f>+_xlfn.XLOOKUP(A209,Hoja3!$C$3:$C$1124,Hoja3!$B$3:$B$1124)</f>
        <v>CAQUETÁ</v>
      </c>
      <c r="D209" s="40" t="str">
        <f t="shared" si="7"/>
        <v>150</v>
      </c>
      <c r="E209" s="39" t="str">
        <f>+_xlfn.XLOOKUP(A209,Hoja3!$C$3:$C$1124,Hoja3!$D$3:$D$1124)</f>
        <v>CARTAGENA DEL CHAIRÁ</v>
      </c>
      <c r="F209" s="41">
        <v>44008</v>
      </c>
    </row>
    <row r="210" spans="1:6" x14ac:dyDescent="0.25">
      <c r="A210" s="37" t="s">
        <v>435</v>
      </c>
      <c r="B210" s="38" t="str">
        <f t="shared" si="6"/>
        <v>27</v>
      </c>
      <c r="C210" s="39" t="str">
        <f>+_xlfn.XLOOKUP(A210,Hoja3!$C$3:$C$1124,Hoja3!$B$3:$B$1124)</f>
        <v>CHOCÓ</v>
      </c>
      <c r="D210" s="40" t="str">
        <f t="shared" si="7"/>
        <v>150</v>
      </c>
      <c r="E210" s="39" t="str">
        <f>+_xlfn.XLOOKUP(A210,Hoja3!$C$3:$C$1124,Hoja3!$D$3:$D$1124)</f>
        <v>CARMEN DEL DARIÉN</v>
      </c>
      <c r="F210" s="41">
        <v>44007</v>
      </c>
    </row>
    <row r="211" spans="1:6" x14ac:dyDescent="0.25">
      <c r="A211" s="37" t="s">
        <v>680</v>
      </c>
      <c r="B211" s="38" t="str">
        <f t="shared" si="6"/>
        <v>50</v>
      </c>
      <c r="C211" s="39" t="str">
        <f>+_xlfn.XLOOKUP(A211,Hoja3!$C$3:$C$1124,Hoja3!$B$3:$B$1124)</f>
        <v>META</v>
      </c>
      <c r="D211" s="40" t="str">
        <f t="shared" si="7"/>
        <v>150</v>
      </c>
      <c r="E211" s="39" t="str">
        <f>+_xlfn.XLOOKUP(A211,Hoja3!$C$3:$C$1124,Hoja3!$D$3:$D$1124)</f>
        <v>CASTILLA LA NUEVA</v>
      </c>
      <c r="F211" s="41">
        <v>44008</v>
      </c>
    </row>
    <row r="212" spans="1:6" x14ac:dyDescent="0.25">
      <c r="A212" s="37" t="s">
        <v>494</v>
      </c>
      <c r="B212" s="38" t="str">
        <f t="shared" si="6"/>
        <v>25</v>
      </c>
      <c r="C212" s="39" t="str">
        <f>+_xlfn.XLOOKUP(A212,Hoja3!$C$3:$C$1124,Hoja3!$B$3:$B$1124)</f>
        <v>CUNDINAMARCA</v>
      </c>
      <c r="D212" s="40" t="str">
        <f t="shared" si="7"/>
        <v>151</v>
      </c>
      <c r="E212" s="39" t="str">
        <f>+_xlfn.XLOOKUP(A212,Hoja3!$C$3:$C$1124,Hoja3!$D$3:$D$1124)</f>
        <v>CÁQUEZA</v>
      </c>
      <c r="F212" s="41">
        <v>43951</v>
      </c>
    </row>
    <row r="213" spans="1:6" x14ac:dyDescent="0.25">
      <c r="A213" s="37" t="s">
        <v>854</v>
      </c>
      <c r="B213" s="38" t="str">
        <f t="shared" si="6"/>
        <v>68</v>
      </c>
      <c r="C213" s="39" t="str">
        <f>+_xlfn.XLOOKUP(A213,Hoja3!$C$3:$C$1124,Hoja3!$B$3:$B$1124)</f>
        <v>SANTANDER</v>
      </c>
      <c r="D213" s="40" t="str">
        <f t="shared" si="7"/>
        <v>152</v>
      </c>
      <c r="E213" s="39" t="str">
        <f>+_xlfn.XLOOKUP(A213,Hoja3!$C$3:$C$1124,Hoja3!$D$3:$D$1124)</f>
        <v>CARCASÍ</v>
      </c>
      <c r="F213" s="41">
        <v>44033</v>
      </c>
    </row>
    <row r="214" spans="1:6" x14ac:dyDescent="0.25">
      <c r="A214" s="37" t="s">
        <v>954</v>
      </c>
      <c r="B214" s="38" t="str">
        <f t="shared" si="6"/>
        <v>73</v>
      </c>
      <c r="C214" s="39" t="str">
        <f>+_xlfn.XLOOKUP(A214,Hoja3!$C$3:$C$1124,Hoja3!$B$3:$B$1124)</f>
        <v>TOLIMA</v>
      </c>
      <c r="D214" s="40" t="str">
        <f t="shared" si="7"/>
        <v>152</v>
      </c>
      <c r="E214" s="39" t="str">
        <f>+_xlfn.XLOOKUP(A214,Hoja3!$C$3:$C$1124,Hoja3!$D$3:$D$1124)</f>
        <v>CASABIANCA</v>
      </c>
      <c r="F214" s="41">
        <v>44014</v>
      </c>
    </row>
    <row r="215" spans="1:6" x14ac:dyDescent="0.25">
      <c r="A215" s="37" t="s">
        <v>40</v>
      </c>
      <c r="B215" s="38" t="str">
        <f t="shared" si="6"/>
        <v>05</v>
      </c>
      <c r="C215" s="39" t="str">
        <f>+_xlfn.XLOOKUP(A215,Hoja3!$C$3:$C$1124,Hoja3!$B$3:$B$1124)</f>
        <v>ANTIOQUIA</v>
      </c>
      <c r="D215" s="40" t="str">
        <f t="shared" si="7"/>
        <v>154</v>
      </c>
      <c r="E215" s="39" t="str">
        <f>+_xlfn.XLOOKUP(A215,Hoja3!$C$3:$C$1124,Hoja3!$D$3:$D$1124)</f>
        <v>CAUCASIA</v>
      </c>
      <c r="F215" s="41">
        <v>43960</v>
      </c>
    </row>
    <row r="216" spans="1:6" x14ac:dyDescent="0.25">
      <c r="A216" s="37" t="s">
        <v>495</v>
      </c>
      <c r="B216" s="38" t="str">
        <f t="shared" si="6"/>
        <v>25</v>
      </c>
      <c r="C216" s="39" t="str">
        <f>+_xlfn.XLOOKUP(A216,Hoja3!$C$3:$C$1124,Hoja3!$B$3:$B$1124)</f>
        <v>CUNDINAMARCA</v>
      </c>
      <c r="D216" s="40" t="str">
        <f t="shared" si="7"/>
        <v>154</v>
      </c>
      <c r="E216" s="39" t="str">
        <f>+_xlfn.XLOOKUP(A216,Hoja3!$C$3:$C$1124,Hoja3!$D$3:$D$1124)</f>
        <v>CARMEN DE CARUPA</v>
      </c>
      <c r="F216" s="41">
        <v>44004</v>
      </c>
    </row>
    <row r="217" spans="1:6" x14ac:dyDescent="0.25">
      <c r="A217" s="37" t="s">
        <v>167</v>
      </c>
      <c r="B217" s="38" t="str">
        <f t="shared" si="6"/>
        <v>13</v>
      </c>
      <c r="C217" s="39" t="str">
        <f>+_xlfn.XLOOKUP(A217,Hoja3!$C$3:$C$1124,Hoja3!$B$3:$B$1124)</f>
        <v>BOLÍVAR</v>
      </c>
      <c r="D217" s="40" t="str">
        <f t="shared" si="7"/>
        <v>160</v>
      </c>
      <c r="E217" s="39" t="str">
        <f>+_xlfn.XLOOKUP(A217,Hoja3!$C$3:$C$1124,Hoja3!$D$3:$D$1124)</f>
        <v>CANTAGALLO</v>
      </c>
      <c r="F217" s="41">
        <v>44015</v>
      </c>
    </row>
    <row r="218" spans="1:6" x14ac:dyDescent="0.25">
      <c r="A218" s="37" t="s">
        <v>436</v>
      </c>
      <c r="B218" s="38" t="str">
        <f t="shared" si="6"/>
        <v>27</v>
      </c>
      <c r="C218" s="39" t="str">
        <f>+_xlfn.XLOOKUP(A218,Hoja3!$C$3:$C$1124,Hoja3!$B$3:$B$1124)</f>
        <v>CHOCÓ</v>
      </c>
      <c r="D218" s="40" t="str">
        <f t="shared" si="7"/>
        <v>160</v>
      </c>
      <c r="E218" s="39" t="str">
        <f>+_xlfn.XLOOKUP(A218,Hoja3!$C$3:$C$1124,Hoja3!$D$3:$D$1124)</f>
        <v>CÉRTEGUI</v>
      </c>
      <c r="F218" s="41">
        <v>43968</v>
      </c>
    </row>
    <row r="219" spans="1:6" x14ac:dyDescent="0.25">
      <c r="A219" s="37" t="s">
        <v>855</v>
      </c>
      <c r="B219" s="38" t="str">
        <f t="shared" si="6"/>
        <v>68</v>
      </c>
      <c r="C219" s="39" t="str">
        <f>+_xlfn.XLOOKUP(A219,Hoja3!$C$3:$C$1124,Hoja3!$B$3:$B$1124)</f>
        <v>SANTANDER</v>
      </c>
      <c r="D219" s="40" t="str">
        <f t="shared" si="7"/>
        <v>160</v>
      </c>
      <c r="E219" s="39" t="str">
        <f>+_xlfn.XLOOKUP(A219,Hoja3!$C$3:$C$1124,Hoja3!$D$3:$D$1124)</f>
        <v>CEPITÁ</v>
      </c>
      <c r="F219" s="41">
        <v>44014</v>
      </c>
    </row>
    <row r="220" spans="1:6" x14ac:dyDescent="0.25">
      <c r="A220" s="37" t="s">
        <v>650</v>
      </c>
      <c r="B220" s="38" t="str">
        <f t="shared" si="6"/>
        <v>47</v>
      </c>
      <c r="C220" s="39" t="str">
        <f>+_xlfn.XLOOKUP(A220,Hoja3!$C$3:$C$1124,Hoja3!$B$3:$B$1124)</f>
        <v>MAGDALENA</v>
      </c>
      <c r="D220" s="40" t="str">
        <f t="shared" si="7"/>
        <v>161</v>
      </c>
      <c r="E220" s="39" t="str">
        <f>+_xlfn.XLOOKUP(A220,Hoja3!$C$3:$C$1124,Hoja3!$D$3:$D$1124)</f>
        <v>CERRO DE SAN ANTONIO</v>
      </c>
      <c r="F220" s="41">
        <v>43966</v>
      </c>
    </row>
    <row r="221" spans="1:6" x14ac:dyDescent="0.25">
      <c r="A221" s="37" t="s">
        <v>1029</v>
      </c>
      <c r="B221" s="38" t="str">
        <f t="shared" si="6"/>
        <v>97</v>
      </c>
      <c r="C221" s="39" t="str">
        <f>+_xlfn.XLOOKUP(A221,Hoja3!$C$3:$C$1124,Hoja3!$B$3:$B$1124)</f>
        <v>VAUPÉS</v>
      </c>
      <c r="D221" s="40" t="str">
        <f t="shared" si="7"/>
        <v>161</v>
      </c>
      <c r="E221" s="39" t="str">
        <f>+_xlfn.XLOOKUP(A221,Hoja3!$C$3:$C$1124,Hoja3!$D$3:$D$1124)</f>
        <v>CARURÚ</v>
      </c>
      <c r="F221" s="41">
        <v>44070</v>
      </c>
    </row>
    <row r="222" spans="1:6" x14ac:dyDescent="0.25">
      <c r="A222" s="37" t="s">
        <v>214</v>
      </c>
      <c r="B222" s="38" t="str">
        <f t="shared" si="6"/>
        <v>15</v>
      </c>
      <c r="C222" s="39" t="str">
        <f>+_xlfn.XLOOKUP(A222,Hoja3!$C$3:$C$1124,Hoja3!$B$3:$B$1124)</f>
        <v>BOYACÁ</v>
      </c>
      <c r="D222" s="40" t="str">
        <f t="shared" si="7"/>
        <v>162</v>
      </c>
      <c r="E222" s="39" t="str">
        <f>+_xlfn.XLOOKUP(A222,Hoja3!$C$3:$C$1124,Hoja3!$D$3:$D$1124)</f>
        <v>CERINZA</v>
      </c>
      <c r="F222" s="41">
        <v>44055</v>
      </c>
    </row>
    <row r="223" spans="1:6" x14ac:dyDescent="0.25">
      <c r="A223" s="37" t="s">
        <v>353</v>
      </c>
      <c r="B223" s="38" t="str">
        <f t="shared" si="6"/>
        <v>85</v>
      </c>
      <c r="C223" s="39" t="str">
        <f>+_xlfn.XLOOKUP(A223,Hoja3!$C$3:$C$1124,Hoja3!$B$3:$B$1124)</f>
        <v>CASANARE</v>
      </c>
      <c r="D223" s="40" t="str">
        <f t="shared" si="7"/>
        <v>162</v>
      </c>
      <c r="E223" s="39" t="str">
        <f>+_xlfn.XLOOKUP(A223,Hoja3!$C$3:$C$1124,Hoja3!$D$3:$D$1124)</f>
        <v>MONTERREY</v>
      </c>
      <c r="F223" s="41">
        <v>44018</v>
      </c>
    </row>
    <row r="224" spans="1:6" x14ac:dyDescent="0.25">
      <c r="A224" s="37" t="s">
        <v>456</v>
      </c>
      <c r="B224" s="38" t="str">
        <f t="shared" si="6"/>
        <v>23</v>
      </c>
      <c r="C224" s="39" t="str">
        <f>+_xlfn.XLOOKUP(A224,Hoja3!$C$3:$C$1124,Hoja3!$B$3:$B$1124)</f>
        <v>CÓRDOBA</v>
      </c>
      <c r="D224" s="40" t="str">
        <f t="shared" si="7"/>
        <v>162</v>
      </c>
      <c r="E224" s="39" t="str">
        <f>+_xlfn.XLOOKUP(A224,Hoja3!$C$3:$C$1124,Hoja3!$D$3:$D$1124)</f>
        <v>CERETÉ</v>
      </c>
      <c r="F224" s="41">
        <v>43918</v>
      </c>
    </row>
    <row r="225" spans="1:6" x14ac:dyDescent="0.25">
      <c r="A225" s="37" t="s">
        <v>856</v>
      </c>
      <c r="B225" s="38" t="str">
        <f t="shared" si="6"/>
        <v>68</v>
      </c>
      <c r="C225" s="39" t="str">
        <f>+_xlfn.XLOOKUP(A225,Hoja3!$C$3:$C$1124,Hoja3!$B$3:$B$1124)</f>
        <v>SANTANDER</v>
      </c>
      <c r="D225" s="40" t="str">
        <f t="shared" si="7"/>
        <v>162</v>
      </c>
      <c r="E225" s="39" t="str">
        <f>+_xlfn.XLOOKUP(A225,Hoja3!$C$3:$C$1124,Hoja3!$D$3:$D$1124)</f>
        <v>CERRITO</v>
      </c>
      <c r="F225" s="41">
        <v>44054</v>
      </c>
    </row>
    <row r="226" spans="1:6" x14ac:dyDescent="0.25">
      <c r="A226" s="37" t="s">
        <v>857</v>
      </c>
      <c r="B226" s="38" t="str">
        <f t="shared" si="6"/>
        <v>68</v>
      </c>
      <c r="C226" s="39" t="str">
        <f>+_xlfn.XLOOKUP(A226,Hoja3!$C$3:$C$1124,Hoja3!$B$3:$B$1124)</f>
        <v>SANTANDER</v>
      </c>
      <c r="D226" s="40" t="str">
        <f t="shared" si="7"/>
        <v>167</v>
      </c>
      <c r="E226" s="39" t="str">
        <f>+_xlfn.XLOOKUP(A226,Hoja3!$C$3:$C$1124,Hoja3!$D$3:$D$1124)</f>
        <v>CHARALÁ</v>
      </c>
      <c r="F226" s="41">
        <v>44033</v>
      </c>
    </row>
    <row r="227" spans="1:6" x14ac:dyDescent="0.25">
      <c r="A227" s="37" t="s">
        <v>457</v>
      </c>
      <c r="B227" s="38" t="str">
        <f t="shared" si="6"/>
        <v>23</v>
      </c>
      <c r="C227" s="39" t="str">
        <f>+_xlfn.XLOOKUP(A227,Hoja3!$C$3:$C$1124,Hoja3!$B$3:$B$1124)</f>
        <v>CÓRDOBA</v>
      </c>
      <c r="D227" s="40" t="str">
        <f t="shared" si="7"/>
        <v>168</v>
      </c>
      <c r="E227" s="39" t="str">
        <f>+_xlfn.XLOOKUP(A227,Hoja3!$C$3:$C$1124,Hoja3!$D$3:$D$1124)</f>
        <v>CHIMÁ</v>
      </c>
      <c r="F227" s="41">
        <v>43969</v>
      </c>
    </row>
    <row r="228" spans="1:6" x14ac:dyDescent="0.25">
      <c r="A228" s="37" t="s">
        <v>955</v>
      </c>
      <c r="B228" s="38" t="str">
        <f t="shared" si="6"/>
        <v>73</v>
      </c>
      <c r="C228" s="39" t="str">
        <f>+_xlfn.XLOOKUP(A228,Hoja3!$C$3:$C$1124,Hoja3!$B$3:$B$1124)</f>
        <v>TOLIMA</v>
      </c>
      <c r="D228" s="40" t="str">
        <f t="shared" si="7"/>
        <v>168</v>
      </c>
      <c r="E228" s="39" t="str">
        <f>+_xlfn.XLOOKUP(A228,Hoja3!$C$3:$C$1124,Hoja3!$D$3:$D$1124)</f>
        <v>CHAPARRAL</v>
      </c>
      <c r="F228" s="41">
        <v>43987</v>
      </c>
    </row>
    <row r="229" spans="1:6" x14ac:dyDescent="0.25">
      <c r="A229" s="38" t="s">
        <v>2107</v>
      </c>
      <c r="B229" s="38" t="str">
        <f t="shared" si="6"/>
        <v>25</v>
      </c>
      <c r="C229" s="39" t="str">
        <f>+_xlfn.XLOOKUP(A229,Hoja3!$C$3:$C$1124,Hoja3!$B$3:$B$1124)</f>
        <v>CUNDINAMARCA</v>
      </c>
      <c r="D229" s="40" t="str">
        <f t="shared" si="7"/>
        <v>168</v>
      </c>
      <c r="E229" s="39" t="str">
        <f>+_xlfn.XLOOKUP(A229,Hoja3!$C$3:$C$1124,Hoja3!$D$3:$D$1124)</f>
        <v>CHAGUANÍ</v>
      </c>
      <c r="F229" s="42">
        <v>45658</v>
      </c>
    </row>
    <row r="230" spans="1:6" x14ac:dyDescent="0.25">
      <c r="A230" s="38" t="s">
        <v>2098</v>
      </c>
      <c r="B230" s="38" t="str">
        <f t="shared" si="6"/>
        <v>68</v>
      </c>
      <c r="C230" s="39" t="str">
        <f>+_xlfn.XLOOKUP(A230,Hoja3!$C$3:$C$1124,Hoja3!$B$3:$B$1124)</f>
        <v>SANTANDER</v>
      </c>
      <c r="D230" s="40" t="str">
        <f t="shared" si="7"/>
        <v>169</v>
      </c>
      <c r="E230" s="39" t="str">
        <f>+_xlfn.XLOOKUP(A230,Hoja3!$C$3:$C$1124,Hoja3!$D$3:$D$1124)</f>
        <v>CHARTA</v>
      </c>
      <c r="F230" s="42">
        <v>45658</v>
      </c>
    </row>
    <row r="231" spans="1:6" x14ac:dyDescent="0.25">
      <c r="A231" s="37" t="s">
        <v>651</v>
      </c>
      <c r="B231" s="38" t="str">
        <f t="shared" si="6"/>
        <v>47</v>
      </c>
      <c r="C231" s="39" t="str">
        <f>+_xlfn.XLOOKUP(A231,Hoja3!$C$3:$C$1124,Hoja3!$B$3:$B$1124)</f>
        <v>MAGDALENA</v>
      </c>
      <c r="D231" s="40" t="str">
        <f t="shared" si="7"/>
        <v>170</v>
      </c>
      <c r="E231" s="39" t="str">
        <f>+_xlfn.XLOOKUP(A231,Hoja3!$C$3:$C$1124,Hoja3!$D$3:$D$1124)</f>
        <v>CHIVOLO</v>
      </c>
      <c r="F231" s="41">
        <v>44010</v>
      </c>
    </row>
    <row r="232" spans="1:6" x14ac:dyDescent="0.25">
      <c r="A232" s="37" t="s">
        <v>832</v>
      </c>
      <c r="B232" s="38" t="str">
        <f t="shared" si="6"/>
        <v>66</v>
      </c>
      <c r="C232" s="39" t="str">
        <f>+_xlfn.XLOOKUP(A232,Hoja3!$C$3:$C$1124,Hoja3!$B$3:$B$1124)</f>
        <v>RISARALDA</v>
      </c>
      <c r="D232" s="40" t="str">
        <f t="shared" si="7"/>
        <v>170</v>
      </c>
      <c r="E232" s="39" t="str">
        <f>+_xlfn.XLOOKUP(A232,Hoja3!$C$3:$C$1124,Hoja3!$D$3:$D$1124)</f>
        <v>DOSQUEBRADAS</v>
      </c>
      <c r="F232" s="41">
        <v>43900</v>
      </c>
    </row>
    <row r="233" spans="1:6" x14ac:dyDescent="0.25">
      <c r="A233" s="37" t="s">
        <v>41</v>
      </c>
      <c r="B233" s="38" t="str">
        <f t="shared" si="6"/>
        <v>05</v>
      </c>
      <c r="C233" s="39" t="str">
        <f>+_xlfn.XLOOKUP(A233,Hoja3!$C$3:$C$1124,Hoja3!$B$3:$B$1124)</f>
        <v>ANTIOQUIA</v>
      </c>
      <c r="D233" s="40" t="str">
        <f t="shared" si="7"/>
        <v>172</v>
      </c>
      <c r="E233" s="39" t="str">
        <f>+_xlfn.XLOOKUP(A233,Hoja3!$C$3:$C$1124,Hoja3!$D$3:$D$1124)</f>
        <v>CHIGORODÓ</v>
      </c>
      <c r="F233" s="41">
        <v>43978</v>
      </c>
    </row>
    <row r="234" spans="1:6" x14ac:dyDescent="0.25">
      <c r="A234" s="37" t="s">
        <v>771</v>
      </c>
      <c r="B234" s="38" t="str">
        <f t="shared" si="6"/>
        <v>54</v>
      </c>
      <c r="C234" s="39" t="str">
        <f>+_xlfn.XLOOKUP(A234,Hoja3!$C$3:$C$1124,Hoja3!$B$3:$B$1124)</f>
        <v>NORTE DE SANTANDER</v>
      </c>
      <c r="D234" s="40" t="str">
        <f t="shared" si="7"/>
        <v>172</v>
      </c>
      <c r="E234" s="39" t="str">
        <f>+_xlfn.XLOOKUP(A234,Hoja3!$C$3:$C$1124,Hoja3!$D$3:$D$1124)</f>
        <v>CHINÁCOTA</v>
      </c>
      <c r="F234" s="41">
        <v>44015</v>
      </c>
    </row>
    <row r="235" spans="1:6" x14ac:dyDescent="0.25">
      <c r="A235" s="38" t="s">
        <v>2073</v>
      </c>
      <c r="B235" s="38" t="str">
        <f t="shared" si="6"/>
        <v>15</v>
      </c>
      <c r="C235" s="39" t="str">
        <f>+_xlfn.XLOOKUP(A235,Hoja3!$C$3:$C$1124,Hoja3!$B$3:$B$1124)</f>
        <v>BOYACÁ</v>
      </c>
      <c r="D235" s="40" t="str">
        <f t="shared" si="7"/>
        <v>172</v>
      </c>
      <c r="E235" s="39" t="str">
        <f>+_xlfn.XLOOKUP(A235,Hoja3!$C$3:$C$1124,Hoja3!$D$3:$D$1124)</f>
        <v>CHINAVITA</v>
      </c>
      <c r="F235" s="42">
        <v>45658</v>
      </c>
    </row>
    <row r="236" spans="1:6" x14ac:dyDescent="0.25">
      <c r="A236" s="37" t="s">
        <v>311</v>
      </c>
      <c r="B236" s="38" t="str">
        <f t="shared" si="6"/>
        <v>17</v>
      </c>
      <c r="C236" s="39" t="str">
        <f>+_xlfn.XLOOKUP(A236,Hoja3!$C$3:$C$1124,Hoja3!$B$3:$B$1124)</f>
        <v>CALDAS</v>
      </c>
      <c r="D236" s="40" t="str">
        <f t="shared" si="7"/>
        <v>174</v>
      </c>
      <c r="E236" s="39" t="str">
        <f>+_xlfn.XLOOKUP(A236,Hoja3!$C$3:$C$1124,Hoja3!$D$3:$D$1124)</f>
        <v>CHINCHINÁ</v>
      </c>
      <c r="F236" s="41">
        <v>43904</v>
      </c>
    </row>
    <row r="237" spans="1:6" x14ac:dyDescent="0.25">
      <c r="A237" s="37" t="s">
        <v>772</v>
      </c>
      <c r="B237" s="38" t="str">
        <f t="shared" si="6"/>
        <v>54</v>
      </c>
      <c r="C237" s="39" t="str">
        <f>+_xlfn.XLOOKUP(A237,Hoja3!$C$3:$C$1124,Hoja3!$B$3:$B$1124)</f>
        <v>NORTE DE SANTANDER</v>
      </c>
      <c r="D237" s="40" t="str">
        <f t="shared" si="7"/>
        <v>174</v>
      </c>
      <c r="E237" s="39" t="str">
        <f>+_xlfn.XLOOKUP(A237,Hoja3!$C$3:$C$1124,Hoja3!$D$3:$D$1124)</f>
        <v>CHITAGÁ</v>
      </c>
      <c r="F237" s="41">
        <v>43999</v>
      </c>
    </row>
    <row r="238" spans="1:6" x14ac:dyDescent="0.25">
      <c r="A238" s="37" t="s">
        <v>407</v>
      </c>
      <c r="B238" s="38" t="str">
        <f t="shared" si="6"/>
        <v>20</v>
      </c>
      <c r="C238" s="39" t="str">
        <f>+_xlfn.XLOOKUP(A238,Hoja3!$C$3:$C$1124,Hoja3!$B$3:$B$1124)</f>
        <v>CESAR</v>
      </c>
      <c r="D238" s="40" t="str">
        <f t="shared" si="7"/>
        <v>175</v>
      </c>
      <c r="E238" s="39" t="str">
        <f>+_xlfn.XLOOKUP(A238,Hoja3!$C$3:$C$1124,Hoja3!$D$3:$D$1124)</f>
        <v>CHIMICHAGUA</v>
      </c>
      <c r="F238" s="41">
        <v>43990</v>
      </c>
    </row>
    <row r="239" spans="1:6" x14ac:dyDescent="0.25">
      <c r="A239" s="37" t="s">
        <v>496</v>
      </c>
      <c r="B239" s="38" t="str">
        <f t="shared" si="6"/>
        <v>25</v>
      </c>
      <c r="C239" s="39" t="str">
        <f>+_xlfn.XLOOKUP(A239,Hoja3!$C$3:$C$1124,Hoja3!$B$3:$B$1124)</f>
        <v>CUNDINAMARCA</v>
      </c>
      <c r="D239" s="40" t="str">
        <f t="shared" si="7"/>
        <v>175</v>
      </c>
      <c r="E239" s="39" t="str">
        <f>+_xlfn.XLOOKUP(A239,Hoja3!$C$3:$C$1124,Hoja3!$D$3:$D$1124)</f>
        <v>CHÍA</v>
      </c>
      <c r="F239" s="41">
        <v>43900</v>
      </c>
    </row>
    <row r="240" spans="1:6" x14ac:dyDescent="0.25">
      <c r="A240" s="37" t="s">
        <v>215</v>
      </c>
      <c r="B240" s="38" t="str">
        <f t="shared" si="6"/>
        <v>15</v>
      </c>
      <c r="C240" s="39" t="str">
        <f>+_xlfn.XLOOKUP(A240,Hoja3!$C$3:$C$1124,Hoja3!$B$3:$B$1124)</f>
        <v>BOYACÁ</v>
      </c>
      <c r="D240" s="40" t="str">
        <f t="shared" si="7"/>
        <v>176</v>
      </c>
      <c r="E240" s="39" t="str">
        <f>+_xlfn.XLOOKUP(A240,Hoja3!$C$3:$C$1124,Hoja3!$D$3:$D$1124)</f>
        <v>CHIQUINQUIRÁ</v>
      </c>
      <c r="F240" s="41">
        <v>43941</v>
      </c>
    </row>
    <row r="241" spans="1:6" x14ac:dyDescent="0.25">
      <c r="A241" s="37" t="s">
        <v>858</v>
      </c>
      <c r="B241" s="38" t="str">
        <f t="shared" si="6"/>
        <v>68</v>
      </c>
      <c r="C241" s="39" t="str">
        <f>+_xlfn.XLOOKUP(A241,Hoja3!$C$3:$C$1124,Hoja3!$B$3:$B$1124)</f>
        <v>SANTANDER</v>
      </c>
      <c r="D241" s="40" t="str">
        <f t="shared" si="7"/>
        <v>176</v>
      </c>
      <c r="E241" s="39" t="str">
        <f>+_xlfn.XLOOKUP(A241,Hoja3!$C$3:$C$1124,Hoja3!$D$3:$D$1124)</f>
        <v>CHIMA</v>
      </c>
      <c r="F241" s="41">
        <v>44038</v>
      </c>
    </row>
    <row r="242" spans="1:6" x14ac:dyDescent="0.25">
      <c r="A242" s="37" t="s">
        <v>408</v>
      </c>
      <c r="B242" s="38" t="str">
        <f t="shared" si="6"/>
        <v>20</v>
      </c>
      <c r="C242" s="39" t="str">
        <f>+_xlfn.XLOOKUP(A242,Hoja3!$C$3:$C$1124,Hoja3!$B$3:$B$1124)</f>
        <v>CESAR</v>
      </c>
      <c r="D242" s="40" t="str">
        <f t="shared" si="7"/>
        <v>178</v>
      </c>
      <c r="E242" s="39" t="str">
        <f>+_xlfn.XLOOKUP(A242,Hoja3!$C$3:$C$1124,Hoja3!$D$3:$D$1124)</f>
        <v>CHIRIGUANÁ</v>
      </c>
      <c r="F242" s="41">
        <v>43944</v>
      </c>
    </row>
    <row r="243" spans="1:6" x14ac:dyDescent="0.25">
      <c r="A243" s="37" t="s">
        <v>497</v>
      </c>
      <c r="B243" s="38" t="str">
        <f t="shared" si="6"/>
        <v>25</v>
      </c>
      <c r="C243" s="39" t="str">
        <f>+_xlfn.XLOOKUP(A243,Hoja3!$C$3:$C$1124,Hoja3!$B$3:$B$1124)</f>
        <v>CUNDINAMARCA</v>
      </c>
      <c r="D243" s="40" t="str">
        <f t="shared" si="7"/>
        <v>178</v>
      </c>
      <c r="E243" s="39" t="str">
        <f>+_xlfn.XLOOKUP(A243,Hoja3!$C$3:$C$1124,Hoja3!$D$3:$D$1124)</f>
        <v>CHIPAQUE</v>
      </c>
      <c r="F243" s="41">
        <v>43950</v>
      </c>
    </row>
    <row r="244" spans="1:6" x14ac:dyDescent="0.25">
      <c r="A244" s="37" t="s">
        <v>859</v>
      </c>
      <c r="B244" s="38" t="str">
        <f t="shared" si="6"/>
        <v>68</v>
      </c>
      <c r="C244" s="39" t="str">
        <f>+_xlfn.XLOOKUP(A244,Hoja3!$C$3:$C$1124,Hoja3!$B$3:$B$1124)</f>
        <v>SANTANDER</v>
      </c>
      <c r="D244" s="40" t="str">
        <f t="shared" si="7"/>
        <v>179</v>
      </c>
      <c r="E244" s="39" t="str">
        <f>+_xlfn.XLOOKUP(A244,Hoja3!$C$3:$C$1124,Hoja3!$D$3:$D$1124)</f>
        <v>CHIPATÁ</v>
      </c>
      <c r="F244" s="41">
        <v>44039</v>
      </c>
    </row>
    <row r="245" spans="1:6" x14ac:dyDescent="0.25">
      <c r="A245" s="37" t="s">
        <v>216</v>
      </c>
      <c r="B245" s="38" t="str">
        <f t="shared" si="6"/>
        <v>15</v>
      </c>
      <c r="C245" s="39" t="str">
        <f>+_xlfn.XLOOKUP(A245,Hoja3!$C$3:$C$1124,Hoja3!$B$3:$B$1124)</f>
        <v>BOYACÁ</v>
      </c>
      <c r="D245" s="40" t="str">
        <f t="shared" si="7"/>
        <v>180</v>
      </c>
      <c r="E245" s="39" t="str">
        <f>+_xlfn.XLOOKUP(A245,Hoja3!$C$3:$C$1124,Hoja3!$D$3:$D$1124)</f>
        <v>CHISCAS</v>
      </c>
      <c r="F245" s="41">
        <v>44046</v>
      </c>
    </row>
    <row r="246" spans="1:6" x14ac:dyDescent="0.25">
      <c r="A246" s="37" t="s">
        <v>498</v>
      </c>
      <c r="B246" s="38" t="str">
        <f t="shared" si="6"/>
        <v>25</v>
      </c>
      <c r="C246" s="39" t="str">
        <f>+_xlfn.XLOOKUP(A246,Hoja3!$C$3:$C$1124,Hoja3!$B$3:$B$1124)</f>
        <v>CUNDINAMARCA</v>
      </c>
      <c r="D246" s="40" t="str">
        <f t="shared" si="7"/>
        <v>181</v>
      </c>
      <c r="E246" s="39" t="str">
        <f>+_xlfn.XLOOKUP(A246,Hoja3!$C$3:$C$1124,Hoja3!$D$3:$D$1124)</f>
        <v>CHOACHÍ</v>
      </c>
      <c r="F246" s="41">
        <v>43915</v>
      </c>
    </row>
    <row r="247" spans="1:6" x14ac:dyDescent="0.25">
      <c r="A247" s="37" t="s">
        <v>458</v>
      </c>
      <c r="B247" s="38" t="str">
        <f t="shared" si="6"/>
        <v>23</v>
      </c>
      <c r="C247" s="39" t="str">
        <f>+_xlfn.XLOOKUP(A247,Hoja3!$C$3:$C$1124,Hoja3!$B$3:$B$1124)</f>
        <v>CÓRDOBA</v>
      </c>
      <c r="D247" s="40" t="str">
        <f t="shared" si="7"/>
        <v>182</v>
      </c>
      <c r="E247" s="39" t="str">
        <f>+_xlfn.XLOOKUP(A247,Hoja3!$C$3:$C$1124,Hoja3!$D$3:$D$1124)</f>
        <v>CHINÚ</v>
      </c>
      <c r="F247" s="41">
        <v>43965</v>
      </c>
    </row>
    <row r="248" spans="1:6" x14ac:dyDescent="0.25">
      <c r="A248" s="37" t="s">
        <v>217</v>
      </c>
      <c r="B248" s="38" t="str">
        <f t="shared" si="6"/>
        <v>15</v>
      </c>
      <c r="C248" s="39" t="str">
        <f>+_xlfn.XLOOKUP(A248,Hoja3!$C$3:$C$1124,Hoja3!$B$3:$B$1124)</f>
        <v>BOYACÁ</v>
      </c>
      <c r="D248" s="40" t="str">
        <f t="shared" si="7"/>
        <v>183</v>
      </c>
      <c r="E248" s="39" t="str">
        <f>+_xlfn.XLOOKUP(A248,Hoja3!$C$3:$C$1124,Hoja3!$D$3:$D$1124)</f>
        <v>CHITA</v>
      </c>
      <c r="F248" s="41">
        <v>44049</v>
      </c>
    </row>
    <row r="249" spans="1:6" x14ac:dyDescent="0.25">
      <c r="A249" s="37" t="s">
        <v>499</v>
      </c>
      <c r="B249" s="38" t="str">
        <f t="shared" si="6"/>
        <v>25</v>
      </c>
      <c r="C249" s="39" t="str">
        <f>+_xlfn.XLOOKUP(A249,Hoja3!$C$3:$C$1124,Hoja3!$B$3:$B$1124)</f>
        <v>CUNDINAMARCA</v>
      </c>
      <c r="D249" s="40" t="str">
        <f t="shared" si="7"/>
        <v>183</v>
      </c>
      <c r="E249" s="39" t="str">
        <f>+_xlfn.XLOOKUP(A249,Hoja3!$C$3:$C$1124,Hoja3!$D$3:$D$1124)</f>
        <v>CHOCONTÁ</v>
      </c>
      <c r="F249" s="41">
        <v>43961</v>
      </c>
    </row>
    <row r="250" spans="1:6" x14ac:dyDescent="0.25">
      <c r="A250" s="37" t="s">
        <v>218</v>
      </c>
      <c r="B250" s="38" t="str">
        <f t="shared" si="6"/>
        <v>15</v>
      </c>
      <c r="C250" s="39" t="str">
        <f>+_xlfn.XLOOKUP(A250,Hoja3!$C$3:$C$1124,Hoja3!$B$3:$B$1124)</f>
        <v>BOYACÁ</v>
      </c>
      <c r="D250" s="40" t="str">
        <f t="shared" si="7"/>
        <v>185</v>
      </c>
      <c r="E250" s="39" t="str">
        <f>+_xlfn.XLOOKUP(A250,Hoja3!$C$3:$C$1124,Hoja3!$D$3:$D$1124)</f>
        <v>CHITARAQUE</v>
      </c>
      <c r="F250" s="41">
        <v>44051</v>
      </c>
    </row>
    <row r="251" spans="1:6" x14ac:dyDescent="0.25">
      <c r="A251" s="37" t="s">
        <v>219</v>
      </c>
      <c r="B251" s="38" t="str">
        <f t="shared" si="6"/>
        <v>15</v>
      </c>
      <c r="C251" s="39" t="str">
        <f>+_xlfn.XLOOKUP(A251,Hoja3!$C$3:$C$1124,Hoja3!$B$3:$B$1124)</f>
        <v>BOYACÁ</v>
      </c>
      <c r="D251" s="40" t="str">
        <f t="shared" si="7"/>
        <v>187</v>
      </c>
      <c r="E251" s="39" t="str">
        <f>+_xlfn.XLOOKUP(A251,Hoja3!$C$3:$C$1124,Hoja3!$D$3:$D$1124)</f>
        <v>CHIVATÁ</v>
      </c>
      <c r="F251" s="41">
        <v>44055</v>
      </c>
    </row>
    <row r="252" spans="1:6" x14ac:dyDescent="0.25">
      <c r="A252" s="37" t="s">
        <v>168</v>
      </c>
      <c r="B252" s="38" t="str">
        <f t="shared" si="6"/>
        <v>13</v>
      </c>
      <c r="C252" s="39" t="str">
        <f>+_xlfn.XLOOKUP(A252,Hoja3!$C$3:$C$1124,Hoja3!$B$3:$B$1124)</f>
        <v>BOLÍVAR</v>
      </c>
      <c r="D252" s="40" t="str">
        <f t="shared" si="7"/>
        <v>188</v>
      </c>
      <c r="E252" s="39" t="str">
        <f>+_xlfn.XLOOKUP(A252,Hoja3!$C$3:$C$1124,Hoja3!$D$3:$D$1124)</f>
        <v>CICUCO</v>
      </c>
      <c r="F252" s="41">
        <v>43989</v>
      </c>
    </row>
    <row r="253" spans="1:6" x14ac:dyDescent="0.25">
      <c r="A253" s="37" t="s">
        <v>220</v>
      </c>
      <c r="B253" s="38" t="str">
        <f t="shared" si="6"/>
        <v>15</v>
      </c>
      <c r="C253" s="39" t="str">
        <f>+_xlfn.XLOOKUP(A253,Hoja3!$C$3:$C$1124,Hoja3!$B$3:$B$1124)</f>
        <v>BOYACÁ</v>
      </c>
      <c r="D253" s="40" t="str">
        <f t="shared" si="7"/>
        <v>189</v>
      </c>
      <c r="E253" s="39" t="str">
        <f>+_xlfn.XLOOKUP(A253,Hoja3!$C$3:$C$1124,Hoja3!$D$3:$D$1124)</f>
        <v>CIÉNEGA</v>
      </c>
      <c r="F253" s="41">
        <v>44043</v>
      </c>
    </row>
    <row r="254" spans="1:6" x14ac:dyDescent="0.25">
      <c r="A254" s="37" t="s">
        <v>459</v>
      </c>
      <c r="B254" s="38" t="str">
        <f t="shared" si="6"/>
        <v>23</v>
      </c>
      <c r="C254" s="39" t="str">
        <f>+_xlfn.XLOOKUP(A254,Hoja3!$C$3:$C$1124,Hoja3!$B$3:$B$1124)</f>
        <v>CÓRDOBA</v>
      </c>
      <c r="D254" s="40" t="str">
        <f t="shared" si="7"/>
        <v>189</v>
      </c>
      <c r="E254" s="39" t="str">
        <f>+_xlfn.XLOOKUP(A254,Hoja3!$C$3:$C$1124,Hoja3!$D$3:$D$1124)</f>
        <v>CIÉNAGA DE ORO</v>
      </c>
      <c r="F254" s="41">
        <v>43919</v>
      </c>
    </row>
    <row r="255" spans="1:6" x14ac:dyDescent="0.25">
      <c r="A255" s="37" t="s">
        <v>652</v>
      </c>
      <c r="B255" s="38" t="str">
        <f t="shared" si="6"/>
        <v>47</v>
      </c>
      <c r="C255" s="39" t="str">
        <f>+_xlfn.XLOOKUP(A255,Hoja3!$C$3:$C$1124,Hoja3!$B$3:$B$1124)</f>
        <v>MAGDALENA</v>
      </c>
      <c r="D255" s="40" t="str">
        <f t="shared" si="7"/>
        <v>189</v>
      </c>
      <c r="E255" s="39" t="str">
        <f>+_xlfn.XLOOKUP(A255,Hoja3!$C$3:$C$1124,Hoja3!$D$3:$D$1124)</f>
        <v>CIÉNAGA</v>
      </c>
      <c r="F255" s="41">
        <v>43911</v>
      </c>
    </row>
    <row r="256" spans="1:6" x14ac:dyDescent="0.25">
      <c r="A256" s="37" t="s">
        <v>42</v>
      </c>
      <c r="B256" s="38" t="str">
        <f t="shared" si="6"/>
        <v>05</v>
      </c>
      <c r="C256" s="39" t="str">
        <f>+_xlfn.XLOOKUP(A256,Hoja3!$C$3:$C$1124,Hoja3!$B$3:$B$1124)</f>
        <v>ANTIOQUIA</v>
      </c>
      <c r="D256" s="40" t="str">
        <f t="shared" si="7"/>
        <v>190</v>
      </c>
      <c r="E256" s="39" t="str">
        <f>+_xlfn.XLOOKUP(A256,Hoja3!$C$3:$C$1124,Hoja3!$D$3:$D$1124)</f>
        <v>CISNEROS</v>
      </c>
      <c r="F256" s="41">
        <v>43958</v>
      </c>
    </row>
    <row r="257" spans="1:6" x14ac:dyDescent="0.25">
      <c r="A257" s="37" t="s">
        <v>819</v>
      </c>
      <c r="B257" s="38" t="str">
        <f t="shared" si="6"/>
        <v>63</v>
      </c>
      <c r="C257" s="39" t="str">
        <f>+_xlfn.XLOOKUP(A257,Hoja3!$C$3:$C$1124,Hoja3!$B$3:$B$1124)</f>
        <v>QUINDÍO</v>
      </c>
      <c r="D257" s="40" t="str">
        <f t="shared" si="7"/>
        <v>190</v>
      </c>
      <c r="E257" s="39" t="str">
        <f>+_xlfn.XLOOKUP(A257,Hoja3!$C$3:$C$1124,Hoja3!$D$3:$D$1124)</f>
        <v>CIRCASIA</v>
      </c>
      <c r="F257" s="41">
        <v>43908</v>
      </c>
    </row>
    <row r="258" spans="1:6" x14ac:dyDescent="0.25">
      <c r="A258" s="37" t="s">
        <v>860</v>
      </c>
      <c r="B258" s="38" t="str">
        <f t="shared" ref="B258:B321" si="8">MID(A258,1,2)</f>
        <v>68</v>
      </c>
      <c r="C258" s="39" t="str">
        <f>+_xlfn.XLOOKUP(A258,Hoja3!$C$3:$C$1124,Hoja3!$B$3:$B$1124)</f>
        <v>SANTANDER</v>
      </c>
      <c r="D258" s="40" t="str">
        <f t="shared" ref="D258:D321" si="9">MID(A258,3,3)</f>
        <v>190</v>
      </c>
      <c r="E258" s="39" t="str">
        <f>+_xlfn.XLOOKUP(A258,Hoja3!$C$3:$C$1124,Hoja3!$D$3:$D$1124)</f>
        <v>CIMITARRA</v>
      </c>
      <c r="F258" s="41">
        <v>43916</v>
      </c>
    </row>
    <row r="259" spans="1:6" x14ac:dyDescent="0.25">
      <c r="A259" s="37" t="s">
        <v>43</v>
      </c>
      <c r="B259" s="38" t="str">
        <f t="shared" si="8"/>
        <v>05</v>
      </c>
      <c r="C259" s="39" t="str">
        <f>+_xlfn.XLOOKUP(A259,Hoja3!$C$3:$C$1124,Hoja3!$B$3:$B$1124)</f>
        <v>ANTIOQUIA</v>
      </c>
      <c r="D259" s="40" t="str">
        <f t="shared" si="9"/>
        <v>197</v>
      </c>
      <c r="E259" s="39" t="str">
        <f>+_xlfn.XLOOKUP(A259,Hoja3!$C$3:$C$1124,Hoja3!$D$3:$D$1124)</f>
        <v>COCORNÁ</v>
      </c>
      <c r="F259" s="41">
        <v>43920</v>
      </c>
    </row>
    <row r="260" spans="1:6" x14ac:dyDescent="0.25">
      <c r="A260" s="37" t="s">
        <v>500</v>
      </c>
      <c r="B260" s="38" t="str">
        <f t="shared" si="8"/>
        <v>25</v>
      </c>
      <c r="C260" s="39" t="str">
        <f>+_xlfn.XLOOKUP(A260,Hoja3!$C$3:$C$1124,Hoja3!$B$3:$B$1124)</f>
        <v>CUNDINAMARCA</v>
      </c>
      <c r="D260" s="40" t="str">
        <f t="shared" si="9"/>
        <v>200</v>
      </c>
      <c r="E260" s="39" t="str">
        <f>+_xlfn.XLOOKUP(A260,Hoja3!$C$3:$C$1124,Hoja3!$D$3:$D$1124)</f>
        <v>COGUA</v>
      </c>
      <c r="F260" s="41">
        <v>43918</v>
      </c>
    </row>
    <row r="261" spans="1:6" x14ac:dyDescent="0.25">
      <c r="A261" s="37" t="s">
        <v>594</v>
      </c>
      <c r="B261" s="38" t="str">
        <f t="shared" si="8"/>
        <v>95</v>
      </c>
      <c r="C261" s="39" t="str">
        <f>+_xlfn.XLOOKUP(A261,Hoja3!$C$3:$C$1124,Hoja3!$B$3:$B$1124)</f>
        <v>GUAVIARE</v>
      </c>
      <c r="D261" s="40" t="str">
        <f t="shared" si="9"/>
        <v>200</v>
      </c>
      <c r="E261" s="39" t="str">
        <f>+_xlfn.XLOOKUP(A261,Hoja3!$C$3:$C$1124,Hoja3!$D$3:$D$1124)</f>
        <v>MIRAFLORES</v>
      </c>
      <c r="F261" s="41">
        <v>44024</v>
      </c>
    </row>
    <row r="262" spans="1:6" x14ac:dyDescent="0.25">
      <c r="A262" s="37" t="s">
        <v>956</v>
      </c>
      <c r="B262" s="38" t="str">
        <f t="shared" si="8"/>
        <v>73</v>
      </c>
      <c r="C262" s="39" t="str">
        <f>+_xlfn.XLOOKUP(A262,Hoja3!$C$3:$C$1124,Hoja3!$B$3:$B$1124)</f>
        <v>TOLIMA</v>
      </c>
      <c r="D262" s="40" t="str">
        <f t="shared" si="9"/>
        <v>200</v>
      </c>
      <c r="E262" s="39" t="str">
        <f>+_xlfn.XLOOKUP(A262,Hoja3!$C$3:$C$1124,Hoja3!$D$3:$D$1124)</f>
        <v>COELLO</v>
      </c>
      <c r="F262" s="41">
        <v>44044</v>
      </c>
    </row>
    <row r="263" spans="1:6" x14ac:dyDescent="0.25">
      <c r="A263" s="37" t="s">
        <v>710</v>
      </c>
      <c r="B263" s="38" t="str">
        <f t="shared" si="8"/>
        <v>52</v>
      </c>
      <c r="C263" s="39" t="str">
        <f>+_xlfn.XLOOKUP(A263,Hoja3!$C$3:$C$1124,Hoja3!$B$3:$B$1124)</f>
        <v>NARIÑO</v>
      </c>
      <c r="D263" s="40" t="str">
        <f t="shared" si="9"/>
        <v>203</v>
      </c>
      <c r="E263" s="39" t="str">
        <f>+_xlfn.XLOOKUP(A263,Hoja3!$C$3:$C$1124,Hoja3!$D$3:$D$1124)</f>
        <v>COLÓN</v>
      </c>
      <c r="F263" s="41">
        <v>43981</v>
      </c>
    </row>
    <row r="264" spans="1:6" x14ac:dyDescent="0.25">
      <c r="A264" s="37" t="s">
        <v>221</v>
      </c>
      <c r="B264" s="38" t="str">
        <f t="shared" si="8"/>
        <v>15</v>
      </c>
      <c r="C264" s="39" t="str">
        <f>+_xlfn.XLOOKUP(A264,Hoja3!$C$3:$C$1124,Hoja3!$B$3:$B$1124)</f>
        <v>BOYACÁ</v>
      </c>
      <c r="D264" s="40" t="str">
        <f t="shared" si="9"/>
        <v>204</v>
      </c>
      <c r="E264" s="39" t="str">
        <f>+_xlfn.XLOOKUP(A264,Hoja3!$C$3:$C$1124,Hoja3!$D$3:$D$1124)</f>
        <v>CÓMBITA</v>
      </c>
      <c r="F264" s="41">
        <v>43952</v>
      </c>
    </row>
    <row r="265" spans="1:6" x14ac:dyDescent="0.25">
      <c r="A265" s="37" t="s">
        <v>922</v>
      </c>
      <c r="B265" s="38" t="str">
        <f t="shared" si="8"/>
        <v>70</v>
      </c>
      <c r="C265" s="39" t="str">
        <f>+_xlfn.XLOOKUP(A265,Hoja3!$C$3:$C$1124,Hoja3!$B$3:$B$1124)</f>
        <v>SUCRE</v>
      </c>
      <c r="D265" s="40" t="str">
        <f t="shared" si="9"/>
        <v>204</v>
      </c>
      <c r="E265" s="39" t="str">
        <f>+_xlfn.XLOOKUP(A265,Hoja3!$C$3:$C$1124,Hoja3!$D$3:$D$1124)</f>
        <v>COLOSÓ</v>
      </c>
      <c r="F265" s="41">
        <v>43986</v>
      </c>
    </row>
    <row r="266" spans="1:6" x14ac:dyDescent="0.25">
      <c r="A266" s="37" t="s">
        <v>336</v>
      </c>
      <c r="B266" s="38" t="str">
        <f t="shared" si="8"/>
        <v>18</v>
      </c>
      <c r="C266" s="39" t="str">
        <f>+_xlfn.XLOOKUP(A266,Hoja3!$C$3:$C$1124,Hoja3!$B$3:$B$1124)</f>
        <v>CAQUETÁ</v>
      </c>
      <c r="D266" s="40" t="str">
        <f t="shared" si="9"/>
        <v>205</v>
      </c>
      <c r="E266" s="39" t="str">
        <f>+_xlfn.XLOOKUP(A266,Hoja3!$C$3:$C$1124,Hoja3!$D$3:$D$1124)</f>
        <v>CURILLO</v>
      </c>
      <c r="F266" s="41">
        <v>44028</v>
      </c>
    </row>
    <row r="267" spans="1:6" x14ac:dyDescent="0.25">
      <c r="A267" s="37" t="s">
        <v>437</v>
      </c>
      <c r="B267" s="38" t="str">
        <f t="shared" si="8"/>
        <v>27</v>
      </c>
      <c r="C267" s="39" t="str">
        <f>+_xlfn.XLOOKUP(A267,Hoja3!$C$3:$C$1124,Hoja3!$B$3:$B$1124)</f>
        <v>CHOCÓ</v>
      </c>
      <c r="D267" s="40" t="str">
        <f t="shared" si="9"/>
        <v>205</v>
      </c>
      <c r="E267" s="39" t="str">
        <f>+_xlfn.XLOOKUP(A267,Hoja3!$C$3:$C$1124,Hoja3!$D$3:$D$1124)</f>
        <v>CONDOTO</v>
      </c>
      <c r="F267" s="41">
        <v>43971</v>
      </c>
    </row>
    <row r="268" spans="1:6" x14ac:dyDescent="0.25">
      <c r="A268" s="37" t="s">
        <v>653</v>
      </c>
      <c r="B268" s="38" t="str">
        <f t="shared" si="8"/>
        <v>47</v>
      </c>
      <c r="C268" s="39" t="str">
        <f>+_xlfn.XLOOKUP(A268,Hoja3!$C$3:$C$1124,Hoja3!$B$3:$B$1124)</f>
        <v>MAGDALENA</v>
      </c>
      <c r="D268" s="40" t="str">
        <f t="shared" si="9"/>
        <v>205</v>
      </c>
      <c r="E268" s="39" t="str">
        <f>+_xlfn.XLOOKUP(A268,Hoja3!$C$3:$C$1124,Hoja3!$D$3:$D$1124)</f>
        <v>CONCORDIA</v>
      </c>
      <c r="F268" s="41">
        <v>44002</v>
      </c>
    </row>
    <row r="269" spans="1:6" x14ac:dyDescent="0.25">
      <c r="A269" s="37" t="s">
        <v>603</v>
      </c>
      <c r="B269" s="38" t="str">
        <f t="shared" si="8"/>
        <v>41</v>
      </c>
      <c r="C269" s="39" t="str">
        <f>+_xlfn.XLOOKUP(A269,Hoja3!$C$3:$C$1124,Hoja3!$B$3:$B$1124)</f>
        <v>HUILA</v>
      </c>
      <c r="D269" s="40" t="str">
        <f t="shared" si="9"/>
        <v>206</v>
      </c>
      <c r="E269" s="39" t="str">
        <f>+_xlfn.XLOOKUP(A269,Hoja3!$C$3:$C$1124,Hoja3!$D$3:$D$1124)</f>
        <v>COLOMBIA</v>
      </c>
      <c r="F269" s="41">
        <v>44026</v>
      </c>
    </row>
    <row r="270" spans="1:6" x14ac:dyDescent="0.25">
      <c r="A270" s="37" t="s">
        <v>773</v>
      </c>
      <c r="B270" s="38" t="str">
        <f t="shared" si="8"/>
        <v>54</v>
      </c>
      <c r="C270" s="39" t="str">
        <f>+_xlfn.XLOOKUP(A270,Hoja3!$C$3:$C$1124,Hoja3!$B$3:$B$1124)</f>
        <v>NORTE DE SANTANDER</v>
      </c>
      <c r="D270" s="40" t="str">
        <f t="shared" si="9"/>
        <v>206</v>
      </c>
      <c r="E270" s="39" t="str">
        <f>+_xlfn.XLOOKUP(A270,Hoja3!$C$3:$C$1124,Hoja3!$D$3:$D$1124)</f>
        <v>CONVENCIÓN</v>
      </c>
      <c r="F270" s="41">
        <v>43969</v>
      </c>
    </row>
    <row r="271" spans="1:6" x14ac:dyDescent="0.25">
      <c r="A271" s="37" t="s">
        <v>44</v>
      </c>
      <c r="B271" s="38" t="str">
        <f t="shared" si="8"/>
        <v>05</v>
      </c>
      <c r="C271" s="39" t="str">
        <f>+_xlfn.XLOOKUP(A271,Hoja3!$C$3:$C$1124,Hoja3!$B$3:$B$1124)</f>
        <v>ANTIOQUIA</v>
      </c>
      <c r="D271" s="40" t="str">
        <f t="shared" si="9"/>
        <v>206</v>
      </c>
      <c r="E271" s="39" t="str">
        <f>+_xlfn.XLOOKUP(A271,Hoja3!$C$3:$C$1124,Hoja3!$D$3:$D$1124)</f>
        <v>CONCEPCIÓN</v>
      </c>
      <c r="F271" s="41">
        <v>44013</v>
      </c>
    </row>
    <row r="272" spans="1:6" x14ac:dyDescent="0.25">
      <c r="A272" s="37" t="s">
        <v>711</v>
      </c>
      <c r="B272" s="38" t="str">
        <f t="shared" si="8"/>
        <v>52</v>
      </c>
      <c r="C272" s="39" t="str">
        <f>+_xlfn.XLOOKUP(A272,Hoja3!$C$3:$C$1124,Hoja3!$B$3:$B$1124)</f>
        <v>NARIÑO</v>
      </c>
      <c r="D272" s="40" t="str">
        <f t="shared" si="9"/>
        <v>207</v>
      </c>
      <c r="E272" s="39" t="str">
        <f>+_xlfn.XLOOKUP(A272,Hoja3!$C$3:$C$1124,Hoja3!$D$3:$D$1124)</f>
        <v>CONSACÁ</v>
      </c>
      <c r="F272" s="41">
        <v>44003</v>
      </c>
    </row>
    <row r="273" spans="1:6" x14ac:dyDescent="0.25">
      <c r="A273" s="37" t="s">
        <v>861</v>
      </c>
      <c r="B273" s="38" t="str">
        <f t="shared" si="8"/>
        <v>68</v>
      </c>
      <c r="C273" s="39" t="str">
        <f>+_xlfn.XLOOKUP(A273,Hoja3!$C$3:$C$1124,Hoja3!$B$3:$B$1124)</f>
        <v>SANTANDER</v>
      </c>
      <c r="D273" s="40" t="str">
        <f t="shared" si="9"/>
        <v>207</v>
      </c>
      <c r="E273" s="39" t="str">
        <f>+_xlfn.XLOOKUP(A273,Hoja3!$C$3:$C$1124,Hoja3!$D$3:$D$1124)</f>
        <v>CONCEPCIÓN</v>
      </c>
      <c r="F273" s="41">
        <v>43918</v>
      </c>
    </row>
    <row r="274" spans="1:6" x14ac:dyDescent="0.25">
      <c r="A274" s="37" t="s">
        <v>45</v>
      </c>
      <c r="B274" s="38" t="str">
        <f t="shared" si="8"/>
        <v>05</v>
      </c>
      <c r="C274" s="39" t="str">
        <f>+_xlfn.XLOOKUP(A274,Hoja3!$C$3:$C$1124,Hoja3!$B$3:$B$1124)</f>
        <v>ANTIOQUIA</v>
      </c>
      <c r="D274" s="40" t="str">
        <f t="shared" si="9"/>
        <v>209</v>
      </c>
      <c r="E274" s="39" t="str">
        <f>+_xlfn.XLOOKUP(A274,Hoja3!$C$3:$C$1124,Hoja3!$D$3:$D$1124)</f>
        <v>CONCORDIA</v>
      </c>
      <c r="F274" s="41">
        <v>44018</v>
      </c>
    </row>
    <row r="275" spans="1:6" x14ac:dyDescent="0.25">
      <c r="A275" s="37" t="s">
        <v>862</v>
      </c>
      <c r="B275" s="38" t="str">
        <f t="shared" si="8"/>
        <v>68</v>
      </c>
      <c r="C275" s="39" t="str">
        <f>+_xlfn.XLOOKUP(A275,Hoja3!$C$3:$C$1124,Hoja3!$B$3:$B$1124)</f>
        <v>SANTANDER</v>
      </c>
      <c r="D275" s="40" t="str">
        <f t="shared" si="9"/>
        <v>209</v>
      </c>
      <c r="E275" s="39" t="str">
        <f>+_xlfn.XLOOKUP(A275,Hoja3!$C$3:$C$1124,Hoja3!$D$3:$D$1124)</f>
        <v>CONFINES</v>
      </c>
      <c r="F275" s="41">
        <v>44023</v>
      </c>
    </row>
    <row r="276" spans="1:6" x14ac:dyDescent="0.25">
      <c r="A276" s="37" t="s">
        <v>712</v>
      </c>
      <c r="B276" s="38" t="str">
        <f t="shared" si="8"/>
        <v>52</v>
      </c>
      <c r="C276" s="39" t="str">
        <f>+_xlfn.XLOOKUP(A276,Hoja3!$C$3:$C$1124,Hoja3!$B$3:$B$1124)</f>
        <v>NARIÑO</v>
      </c>
      <c r="D276" s="40" t="str">
        <f t="shared" si="9"/>
        <v>210</v>
      </c>
      <c r="E276" s="39" t="str">
        <f>+_xlfn.XLOOKUP(A276,Hoja3!$C$3:$C$1124,Hoja3!$D$3:$D$1124)</f>
        <v>CONTADERO</v>
      </c>
      <c r="F276" s="41">
        <v>43911</v>
      </c>
    </row>
    <row r="277" spans="1:6" x14ac:dyDescent="0.25">
      <c r="A277" s="37" t="s">
        <v>863</v>
      </c>
      <c r="B277" s="38" t="str">
        <f t="shared" si="8"/>
        <v>68</v>
      </c>
      <c r="C277" s="39" t="str">
        <f>+_xlfn.XLOOKUP(A277,Hoja3!$C$3:$C$1124,Hoja3!$B$3:$B$1124)</f>
        <v>SANTANDER</v>
      </c>
      <c r="D277" s="40" t="str">
        <f t="shared" si="9"/>
        <v>211</v>
      </c>
      <c r="E277" s="39" t="str">
        <f>+_xlfn.XLOOKUP(A277,Hoja3!$C$3:$C$1124,Hoja3!$D$3:$D$1124)</f>
        <v>CONTRATACIÓN</v>
      </c>
      <c r="F277" s="41">
        <v>44049</v>
      </c>
    </row>
    <row r="278" spans="1:6" x14ac:dyDescent="0.25">
      <c r="A278" s="37" t="s">
        <v>169</v>
      </c>
      <c r="B278" s="38" t="str">
        <f t="shared" si="8"/>
        <v>13</v>
      </c>
      <c r="C278" s="39" t="str">
        <f>+_xlfn.XLOOKUP(A278,Hoja3!$C$3:$C$1124,Hoja3!$B$3:$B$1124)</f>
        <v>BOLÍVAR</v>
      </c>
      <c r="D278" s="40" t="str">
        <f t="shared" si="9"/>
        <v>212</v>
      </c>
      <c r="E278" s="39" t="str">
        <f>+_xlfn.XLOOKUP(A278,Hoja3!$C$3:$C$1124,Hoja3!$D$3:$D$1124)</f>
        <v>CÓRDOBA</v>
      </c>
      <c r="F278" s="41">
        <v>44008</v>
      </c>
    </row>
    <row r="279" spans="1:6" x14ac:dyDescent="0.25">
      <c r="A279" s="37" t="s">
        <v>222</v>
      </c>
      <c r="B279" s="38" t="str">
        <f t="shared" si="8"/>
        <v>15</v>
      </c>
      <c r="C279" s="39" t="str">
        <f>+_xlfn.XLOOKUP(A279,Hoja3!$C$3:$C$1124,Hoja3!$B$3:$B$1124)</f>
        <v>BOYACÁ</v>
      </c>
      <c r="D279" s="40" t="str">
        <f t="shared" si="9"/>
        <v>212</v>
      </c>
      <c r="E279" s="39" t="str">
        <f>+_xlfn.XLOOKUP(A279,Hoja3!$C$3:$C$1124,Hoja3!$D$3:$D$1124)</f>
        <v>COPER</v>
      </c>
      <c r="F279" s="41">
        <v>43968</v>
      </c>
    </row>
    <row r="280" spans="1:6" x14ac:dyDescent="0.25">
      <c r="A280" s="37" t="s">
        <v>371</v>
      </c>
      <c r="B280" s="38" t="str">
        <f t="shared" si="8"/>
        <v>19</v>
      </c>
      <c r="C280" s="39" t="str">
        <f>+_xlfn.XLOOKUP(A280,Hoja3!$C$3:$C$1124,Hoja3!$B$3:$B$1124)</f>
        <v>CAUCA</v>
      </c>
      <c r="D280" s="40" t="str">
        <f t="shared" si="9"/>
        <v>212</v>
      </c>
      <c r="E280" s="39" t="str">
        <f>+_xlfn.XLOOKUP(A280,Hoja3!$C$3:$C$1124,Hoja3!$D$3:$D$1124)</f>
        <v>CORINTO</v>
      </c>
      <c r="F280" s="41">
        <v>44000</v>
      </c>
    </row>
    <row r="281" spans="1:6" x14ac:dyDescent="0.25">
      <c r="A281" s="37" t="s">
        <v>820</v>
      </c>
      <c r="B281" s="38" t="str">
        <f t="shared" si="8"/>
        <v>63</v>
      </c>
      <c r="C281" s="39" t="str">
        <f>+_xlfn.XLOOKUP(A281,Hoja3!$C$3:$C$1124,Hoja3!$B$3:$B$1124)</f>
        <v>QUINDÍO</v>
      </c>
      <c r="D281" s="40" t="str">
        <f t="shared" si="9"/>
        <v>212</v>
      </c>
      <c r="E281" s="39" t="str">
        <f>+_xlfn.XLOOKUP(A281,Hoja3!$C$3:$C$1124,Hoja3!$D$3:$D$1124)</f>
        <v>CÓRDOBA</v>
      </c>
      <c r="F281" s="41">
        <v>43950</v>
      </c>
    </row>
    <row r="282" spans="1:6" x14ac:dyDescent="0.25">
      <c r="A282" s="37" t="s">
        <v>46</v>
      </c>
      <c r="B282" s="38" t="str">
        <f t="shared" si="8"/>
        <v>05</v>
      </c>
      <c r="C282" s="39" t="str">
        <f>+_xlfn.XLOOKUP(A282,Hoja3!$C$3:$C$1124,Hoja3!$B$3:$B$1124)</f>
        <v>ANTIOQUIA</v>
      </c>
      <c r="D282" s="40" t="str">
        <f t="shared" si="9"/>
        <v>212</v>
      </c>
      <c r="E282" s="39" t="str">
        <f>+_xlfn.XLOOKUP(A282,Hoja3!$C$3:$C$1124,Hoja3!$D$3:$D$1124)</f>
        <v>COPACABANA</v>
      </c>
      <c r="F282" s="41">
        <v>43919</v>
      </c>
    </row>
    <row r="283" spans="1:6" x14ac:dyDescent="0.25">
      <c r="A283" s="37" t="s">
        <v>501</v>
      </c>
      <c r="B283" s="38" t="str">
        <f t="shared" si="8"/>
        <v>25</v>
      </c>
      <c r="C283" s="39" t="str">
        <f>+_xlfn.XLOOKUP(A283,Hoja3!$C$3:$C$1124,Hoja3!$B$3:$B$1124)</f>
        <v>CUNDINAMARCA</v>
      </c>
      <c r="D283" s="40" t="str">
        <f t="shared" si="9"/>
        <v>214</v>
      </c>
      <c r="E283" s="39" t="str">
        <f>+_xlfn.XLOOKUP(A283,Hoja3!$C$3:$C$1124,Hoja3!$D$3:$D$1124)</f>
        <v>COTA</v>
      </c>
      <c r="F283" s="41">
        <v>43904</v>
      </c>
    </row>
    <row r="284" spans="1:6" x14ac:dyDescent="0.25">
      <c r="A284" s="37" t="s">
        <v>223</v>
      </c>
      <c r="B284" s="38" t="str">
        <f t="shared" si="8"/>
        <v>15</v>
      </c>
      <c r="C284" s="39" t="str">
        <f>+_xlfn.XLOOKUP(A284,Hoja3!$C$3:$C$1124,Hoja3!$B$3:$B$1124)</f>
        <v>BOYACÁ</v>
      </c>
      <c r="D284" s="40" t="str">
        <f t="shared" si="9"/>
        <v>215</v>
      </c>
      <c r="E284" s="39" t="str">
        <f>+_xlfn.XLOOKUP(A284,Hoja3!$C$3:$C$1124,Hoja3!$D$3:$D$1124)</f>
        <v>CORRALES</v>
      </c>
      <c r="F284" s="41">
        <v>43973</v>
      </c>
    </row>
    <row r="285" spans="1:6" x14ac:dyDescent="0.25">
      <c r="A285" s="37" t="s">
        <v>713</v>
      </c>
      <c r="B285" s="38" t="str">
        <f t="shared" si="8"/>
        <v>52</v>
      </c>
      <c r="C285" s="39" t="str">
        <f>+_xlfn.XLOOKUP(A285,Hoja3!$C$3:$C$1124,Hoja3!$B$3:$B$1124)</f>
        <v>NARIÑO</v>
      </c>
      <c r="D285" s="40" t="str">
        <f t="shared" si="9"/>
        <v>215</v>
      </c>
      <c r="E285" s="39" t="str">
        <f>+_xlfn.XLOOKUP(A285,Hoja3!$C$3:$C$1124,Hoja3!$D$3:$D$1124)</f>
        <v>CÓRDOBA</v>
      </c>
      <c r="F285" s="41">
        <v>43971</v>
      </c>
    </row>
    <row r="286" spans="1:6" x14ac:dyDescent="0.25">
      <c r="A286" s="37" t="s">
        <v>923</v>
      </c>
      <c r="B286" s="38" t="str">
        <f t="shared" si="8"/>
        <v>70</v>
      </c>
      <c r="C286" s="39" t="str">
        <f>+_xlfn.XLOOKUP(A286,Hoja3!$C$3:$C$1124,Hoja3!$B$3:$B$1124)</f>
        <v>SUCRE</v>
      </c>
      <c r="D286" s="40" t="str">
        <f t="shared" si="9"/>
        <v>215</v>
      </c>
      <c r="E286" s="39" t="str">
        <f>+_xlfn.XLOOKUP(A286,Hoja3!$C$3:$C$1124,Hoja3!$D$3:$D$1124)</f>
        <v>COROZAL</v>
      </c>
      <c r="F286" s="41">
        <v>43969</v>
      </c>
    </row>
    <row r="287" spans="1:6" x14ac:dyDescent="0.25">
      <c r="A287" s="37" t="s">
        <v>864</v>
      </c>
      <c r="B287" s="38" t="str">
        <f t="shared" si="8"/>
        <v>68</v>
      </c>
      <c r="C287" s="39" t="str">
        <f>+_xlfn.XLOOKUP(A287,Hoja3!$C$3:$C$1124,Hoja3!$B$3:$B$1124)</f>
        <v>SANTANDER</v>
      </c>
      <c r="D287" s="40" t="str">
        <f t="shared" si="9"/>
        <v>217</v>
      </c>
      <c r="E287" s="39" t="str">
        <f>+_xlfn.XLOOKUP(A287,Hoja3!$C$3:$C$1124,Hoja3!$D$3:$D$1124)</f>
        <v>COROMORO</v>
      </c>
      <c r="F287" s="41">
        <v>44034</v>
      </c>
    </row>
    <row r="288" spans="1:6" x14ac:dyDescent="0.25">
      <c r="A288" s="37" t="s">
        <v>957</v>
      </c>
      <c r="B288" s="38" t="str">
        <f t="shared" si="8"/>
        <v>73</v>
      </c>
      <c r="C288" s="39" t="str">
        <f>+_xlfn.XLOOKUP(A288,Hoja3!$C$3:$C$1124,Hoja3!$B$3:$B$1124)</f>
        <v>TOLIMA</v>
      </c>
      <c r="D288" s="40" t="str">
        <f t="shared" si="9"/>
        <v>217</v>
      </c>
      <c r="E288" s="39" t="str">
        <f>+_xlfn.XLOOKUP(A288,Hoja3!$C$3:$C$1124,Hoja3!$D$3:$D$1124)</f>
        <v>COYAIMA</v>
      </c>
      <c r="F288" s="41">
        <v>43988</v>
      </c>
    </row>
    <row r="289" spans="1:6" x14ac:dyDescent="0.25">
      <c r="A289" s="37" t="s">
        <v>224</v>
      </c>
      <c r="B289" s="38" t="str">
        <f t="shared" si="8"/>
        <v>15</v>
      </c>
      <c r="C289" s="39" t="str">
        <f>+_xlfn.XLOOKUP(A289,Hoja3!$C$3:$C$1124,Hoja3!$B$3:$B$1124)</f>
        <v>BOYACÁ</v>
      </c>
      <c r="D289" s="40" t="str">
        <f t="shared" si="9"/>
        <v>218</v>
      </c>
      <c r="E289" s="39" t="str">
        <f>+_xlfn.XLOOKUP(A289,Hoja3!$C$3:$C$1124,Hoja3!$D$3:$D$1124)</f>
        <v>COVARACHÍA</v>
      </c>
      <c r="F289" s="41">
        <v>44006</v>
      </c>
    </row>
    <row r="290" spans="1:6" x14ac:dyDescent="0.25">
      <c r="A290" s="37" t="s">
        <v>805</v>
      </c>
      <c r="B290" s="38" t="str">
        <f t="shared" si="8"/>
        <v>86</v>
      </c>
      <c r="C290" s="39" t="str">
        <f>+_xlfn.XLOOKUP(A290,Hoja3!$C$3:$C$1124,Hoja3!$B$3:$B$1124)</f>
        <v>PUTUMAYO</v>
      </c>
      <c r="D290" s="40" t="str">
        <f t="shared" si="9"/>
        <v>219</v>
      </c>
      <c r="E290" s="39" t="str">
        <f>+_xlfn.XLOOKUP(A290,Hoja3!$C$3:$C$1124,Hoja3!$D$3:$D$1124)</f>
        <v>COLÓN</v>
      </c>
      <c r="F290" s="41">
        <v>43963</v>
      </c>
    </row>
    <row r="291" spans="1:6" x14ac:dyDescent="0.25">
      <c r="A291" s="38" t="s">
        <v>2077</v>
      </c>
      <c r="B291" s="38" t="str">
        <f t="shared" si="8"/>
        <v>81</v>
      </c>
      <c r="C291" s="39" t="str">
        <f>+_xlfn.XLOOKUP(A291,Hoja3!$C$3:$C$1124,Hoja3!$B$3:$B$1124)</f>
        <v>ARAUCA</v>
      </c>
      <c r="D291" s="40" t="str">
        <f t="shared" si="9"/>
        <v>220</v>
      </c>
      <c r="E291" s="39" t="str">
        <f>+_xlfn.XLOOKUP(A291,Hoja3!$C$3:$C$1124,Hoja3!$D$3:$D$1124)</f>
        <v>CRAVO NORTE</v>
      </c>
      <c r="F291" s="42">
        <v>45658</v>
      </c>
    </row>
    <row r="292" spans="1:6" x14ac:dyDescent="0.25">
      <c r="A292" s="37" t="s">
        <v>924</v>
      </c>
      <c r="B292" s="38" t="str">
        <f t="shared" si="8"/>
        <v>70</v>
      </c>
      <c r="C292" s="39" t="str">
        <f>+_xlfn.XLOOKUP(A292,Hoja3!$C$3:$C$1124,Hoja3!$B$3:$B$1124)</f>
        <v>SUCRE</v>
      </c>
      <c r="D292" s="40" t="str">
        <f t="shared" si="9"/>
        <v>221</v>
      </c>
      <c r="E292" s="39" t="str">
        <f>+_xlfn.XLOOKUP(A292,Hoja3!$C$3:$C$1124,Hoja3!$D$3:$D$1124)</f>
        <v>COVEÑAS</v>
      </c>
      <c r="F292" s="41">
        <v>43994</v>
      </c>
    </row>
    <row r="293" spans="1:6" x14ac:dyDescent="0.25">
      <c r="A293" s="37" t="s">
        <v>170</v>
      </c>
      <c r="B293" s="38" t="str">
        <f t="shared" si="8"/>
        <v>13</v>
      </c>
      <c r="C293" s="39" t="str">
        <f>+_xlfn.XLOOKUP(A293,Hoja3!$C$3:$C$1124,Hoja3!$B$3:$B$1124)</f>
        <v>BOLÍVAR</v>
      </c>
      <c r="D293" s="40" t="str">
        <f t="shared" si="9"/>
        <v>222</v>
      </c>
      <c r="E293" s="39" t="str">
        <f>+_xlfn.XLOOKUP(A293,Hoja3!$C$3:$C$1124,Hoja3!$D$3:$D$1124)</f>
        <v>CLEMENCIA</v>
      </c>
      <c r="F293" s="41">
        <v>43958</v>
      </c>
    </row>
    <row r="294" spans="1:6" x14ac:dyDescent="0.25">
      <c r="A294" s="37" t="s">
        <v>225</v>
      </c>
      <c r="B294" s="38" t="str">
        <f t="shared" si="8"/>
        <v>15</v>
      </c>
      <c r="C294" s="39" t="str">
        <f>+_xlfn.XLOOKUP(A294,Hoja3!$C$3:$C$1124,Hoja3!$B$3:$B$1124)</f>
        <v>BOYACÁ</v>
      </c>
      <c r="D294" s="40" t="str">
        <f t="shared" si="9"/>
        <v>223</v>
      </c>
      <c r="E294" s="39" t="str">
        <f>+_xlfn.XLOOKUP(A294,Hoja3!$C$3:$C$1124,Hoja3!$D$3:$D$1124)</f>
        <v>CUBARÁ</v>
      </c>
      <c r="F294" s="41">
        <v>43944</v>
      </c>
    </row>
    <row r="295" spans="1:6" x14ac:dyDescent="0.25">
      <c r="A295" s="37" t="s">
        <v>681</v>
      </c>
      <c r="B295" s="38" t="str">
        <f t="shared" si="8"/>
        <v>50</v>
      </c>
      <c r="C295" s="39" t="str">
        <f>+_xlfn.XLOOKUP(A295,Hoja3!$C$3:$C$1124,Hoja3!$B$3:$B$1124)</f>
        <v>META</v>
      </c>
      <c r="D295" s="40" t="str">
        <f t="shared" si="9"/>
        <v>223</v>
      </c>
      <c r="E295" s="39" t="str">
        <f>+_xlfn.XLOOKUP(A295,Hoja3!$C$3:$C$1124,Hoja3!$D$3:$D$1124)</f>
        <v>CUBARRAL</v>
      </c>
      <c r="F295" s="41">
        <v>44019</v>
      </c>
    </row>
    <row r="296" spans="1:6" x14ac:dyDescent="0.25">
      <c r="A296" s="37" t="s">
        <v>774</v>
      </c>
      <c r="B296" s="38" t="str">
        <f t="shared" si="8"/>
        <v>54</v>
      </c>
      <c r="C296" s="39" t="str">
        <f>+_xlfn.XLOOKUP(A296,Hoja3!$C$3:$C$1124,Hoja3!$B$3:$B$1124)</f>
        <v>NORTE DE SANTANDER</v>
      </c>
      <c r="D296" s="40" t="str">
        <f t="shared" si="9"/>
        <v>223</v>
      </c>
      <c r="E296" s="39" t="str">
        <f>+_xlfn.XLOOKUP(A296,Hoja3!$C$3:$C$1124,Hoja3!$D$3:$D$1124)</f>
        <v>CUCUTILLA</v>
      </c>
      <c r="F296" s="41">
        <v>44035</v>
      </c>
    </row>
    <row r="297" spans="1:6" x14ac:dyDescent="0.25">
      <c r="A297" s="37" t="s">
        <v>226</v>
      </c>
      <c r="B297" s="38" t="str">
        <f t="shared" si="8"/>
        <v>15</v>
      </c>
      <c r="C297" s="39" t="str">
        <f>+_xlfn.XLOOKUP(A297,Hoja3!$C$3:$C$1124,Hoja3!$B$3:$B$1124)</f>
        <v>BOYACÁ</v>
      </c>
      <c r="D297" s="40" t="str">
        <f t="shared" si="9"/>
        <v>224</v>
      </c>
      <c r="E297" s="39" t="str">
        <f>+_xlfn.XLOOKUP(A297,Hoja3!$C$3:$C$1124,Hoja3!$D$3:$D$1124)</f>
        <v>CUCAITA</v>
      </c>
      <c r="F297" s="41">
        <v>43956</v>
      </c>
    </row>
    <row r="298" spans="1:6" x14ac:dyDescent="0.25">
      <c r="A298" s="37" t="s">
        <v>502</v>
      </c>
      <c r="B298" s="38" t="str">
        <f t="shared" si="8"/>
        <v>25</v>
      </c>
      <c r="C298" s="39" t="str">
        <f>+_xlfn.XLOOKUP(A298,Hoja3!$C$3:$C$1124,Hoja3!$B$3:$B$1124)</f>
        <v>CUNDINAMARCA</v>
      </c>
      <c r="D298" s="40" t="str">
        <f t="shared" si="9"/>
        <v>224</v>
      </c>
      <c r="E298" s="39" t="str">
        <f>+_xlfn.XLOOKUP(A298,Hoja3!$C$3:$C$1124,Hoja3!$D$3:$D$1124)</f>
        <v>CUCUNUBÁ</v>
      </c>
      <c r="F298" s="41">
        <v>43988</v>
      </c>
    </row>
    <row r="299" spans="1:6" x14ac:dyDescent="0.25">
      <c r="A299" s="37" t="s">
        <v>714</v>
      </c>
      <c r="B299" s="38" t="str">
        <f t="shared" si="8"/>
        <v>52</v>
      </c>
      <c r="C299" s="39" t="str">
        <f>+_xlfn.XLOOKUP(A299,Hoja3!$C$3:$C$1124,Hoja3!$B$3:$B$1124)</f>
        <v>NARIÑO</v>
      </c>
      <c r="D299" s="40" t="str">
        <f t="shared" si="9"/>
        <v>224</v>
      </c>
      <c r="E299" s="39" t="str">
        <f>+_xlfn.XLOOKUP(A299,Hoja3!$C$3:$C$1124,Hoja3!$D$3:$D$1124)</f>
        <v>CUASPUD CARLOSAMA</v>
      </c>
      <c r="F299" s="41">
        <v>43936</v>
      </c>
    </row>
    <row r="300" spans="1:6" x14ac:dyDescent="0.25">
      <c r="A300" s="38" t="s">
        <v>2106</v>
      </c>
      <c r="B300" s="38" t="str">
        <f t="shared" si="8"/>
        <v>85</v>
      </c>
      <c r="C300" s="39" t="str">
        <f>+_xlfn.XLOOKUP(A300,Hoja3!$C$3:$C$1124,Hoja3!$B$3:$B$1124)</f>
        <v>CASANARE</v>
      </c>
      <c r="D300" s="40" t="str">
        <f t="shared" si="9"/>
        <v>225</v>
      </c>
      <c r="E300" s="39" t="str">
        <f>+_xlfn.XLOOKUP(A300,Hoja3!$C$3:$C$1124,Hoja3!$D$3:$D$1124)</f>
        <v>NUNCHÍA</v>
      </c>
      <c r="F300" s="42">
        <v>45658</v>
      </c>
    </row>
    <row r="301" spans="1:6" x14ac:dyDescent="0.25">
      <c r="A301" s="37" t="s">
        <v>227</v>
      </c>
      <c r="B301" s="38" t="str">
        <f t="shared" si="8"/>
        <v>15</v>
      </c>
      <c r="C301" s="39" t="str">
        <f>+_xlfn.XLOOKUP(A301,Hoja3!$C$3:$C$1124,Hoja3!$B$3:$B$1124)</f>
        <v>BOYACÁ</v>
      </c>
      <c r="D301" s="40" t="str">
        <f t="shared" si="9"/>
        <v>226</v>
      </c>
      <c r="E301" s="39" t="str">
        <f>+_xlfn.XLOOKUP(A301,Hoja3!$C$3:$C$1124,Hoja3!$D$3:$D$1124)</f>
        <v>CUÍTIVA</v>
      </c>
      <c r="F301" s="41">
        <v>44035</v>
      </c>
    </row>
    <row r="302" spans="1:6" x14ac:dyDescent="0.25">
      <c r="A302" s="37" t="s">
        <v>682</v>
      </c>
      <c r="B302" s="38" t="str">
        <f t="shared" si="8"/>
        <v>50</v>
      </c>
      <c r="C302" s="39" t="str">
        <f>+_xlfn.XLOOKUP(A302,Hoja3!$C$3:$C$1124,Hoja3!$B$3:$B$1124)</f>
        <v>META</v>
      </c>
      <c r="D302" s="40" t="str">
        <f t="shared" si="9"/>
        <v>226</v>
      </c>
      <c r="E302" s="39" t="str">
        <f>+_xlfn.XLOOKUP(A302,Hoja3!$C$3:$C$1124,Hoja3!$D$3:$D$1124)</f>
        <v>CUMARAL</v>
      </c>
      <c r="F302" s="41">
        <v>43970</v>
      </c>
    </row>
    <row r="303" spans="1:6" x14ac:dyDescent="0.25">
      <c r="A303" s="37" t="s">
        <v>958</v>
      </c>
      <c r="B303" s="38" t="str">
        <f t="shared" si="8"/>
        <v>73</v>
      </c>
      <c r="C303" s="39" t="str">
        <f>+_xlfn.XLOOKUP(A303,Hoja3!$C$3:$C$1124,Hoja3!$B$3:$B$1124)</f>
        <v>TOLIMA</v>
      </c>
      <c r="D303" s="40" t="str">
        <f t="shared" si="9"/>
        <v>226</v>
      </c>
      <c r="E303" s="39" t="str">
        <f>+_xlfn.XLOOKUP(A303,Hoja3!$C$3:$C$1124,Hoja3!$D$3:$D$1124)</f>
        <v>CUNDAY</v>
      </c>
      <c r="F303" s="41">
        <v>44037</v>
      </c>
    </row>
    <row r="304" spans="1:6" x14ac:dyDescent="0.25">
      <c r="A304" s="37" t="s">
        <v>715</v>
      </c>
      <c r="B304" s="38" t="str">
        <f t="shared" si="8"/>
        <v>52</v>
      </c>
      <c r="C304" s="39" t="str">
        <f>+_xlfn.XLOOKUP(A304,Hoja3!$C$3:$C$1124,Hoja3!$B$3:$B$1124)</f>
        <v>NARIÑO</v>
      </c>
      <c r="D304" s="40" t="str">
        <f t="shared" si="9"/>
        <v>227</v>
      </c>
      <c r="E304" s="39" t="str">
        <f>+_xlfn.XLOOKUP(A304,Hoja3!$C$3:$C$1124,Hoja3!$D$3:$D$1124)</f>
        <v>CUMBAL</v>
      </c>
      <c r="F304" s="41">
        <v>43906</v>
      </c>
    </row>
    <row r="305" spans="1:6" x14ac:dyDescent="0.25">
      <c r="A305" s="37" t="s">
        <v>409</v>
      </c>
      <c r="B305" s="38" t="str">
        <f t="shared" si="8"/>
        <v>20</v>
      </c>
      <c r="C305" s="39" t="str">
        <f>+_xlfn.XLOOKUP(A305,Hoja3!$C$3:$C$1124,Hoja3!$B$3:$B$1124)</f>
        <v>CESAR</v>
      </c>
      <c r="D305" s="40" t="str">
        <f t="shared" si="9"/>
        <v>228</v>
      </c>
      <c r="E305" s="39" t="str">
        <f>+_xlfn.XLOOKUP(A305,Hoja3!$C$3:$C$1124,Hoja3!$D$3:$D$1124)</f>
        <v>CURUMANÍ</v>
      </c>
      <c r="F305" s="41">
        <v>43976</v>
      </c>
    </row>
    <row r="306" spans="1:6" x14ac:dyDescent="0.25">
      <c r="A306" s="37" t="s">
        <v>865</v>
      </c>
      <c r="B306" s="38" t="str">
        <f t="shared" si="8"/>
        <v>68</v>
      </c>
      <c r="C306" s="39" t="str">
        <f>+_xlfn.XLOOKUP(A306,Hoja3!$C$3:$C$1124,Hoja3!$B$3:$B$1124)</f>
        <v>SANTANDER</v>
      </c>
      <c r="D306" s="40" t="str">
        <f t="shared" si="9"/>
        <v>229</v>
      </c>
      <c r="E306" s="39" t="str">
        <f>+_xlfn.XLOOKUP(A306,Hoja3!$C$3:$C$1124,Hoja3!$D$3:$D$1124)</f>
        <v>CURITÍ</v>
      </c>
      <c r="F306" s="41">
        <v>43912</v>
      </c>
    </row>
    <row r="307" spans="1:6" x14ac:dyDescent="0.25">
      <c r="A307" s="37" t="s">
        <v>354</v>
      </c>
      <c r="B307" s="38" t="str">
        <f t="shared" si="8"/>
        <v>85</v>
      </c>
      <c r="C307" s="39" t="str">
        <f>+_xlfn.XLOOKUP(A307,Hoja3!$C$3:$C$1124,Hoja3!$B$3:$B$1124)</f>
        <v>CASANARE</v>
      </c>
      <c r="D307" s="40" t="str">
        <f t="shared" si="9"/>
        <v>230</v>
      </c>
      <c r="E307" s="39" t="str">
        <f>+_xlfn.XLOOKUP(A307,Hoja3!$C$3:$C$1124,Hoja3!$D$3:$D$1124)</f>
        <v>OROCUÉ</v>
      </c>
      <c r="F307" s="41">
        <v>44005</v>
      </c>
    </row>
    <row r="308" spans="1:6" x14ac:dyDescent="0.25">
      <c r="A308" s="37" t="s">
        <v>925</v>
      </c>
      <c r="B308" s="38" t="str">
        <f t="shared" si="8"/>
        <v>70</v>
      </c>
      <c r="C308" s="39" t="str">
        <f>+_xlfn.XLOOKUP(A308,Hoja3!$C$3:$C$1124,Hoja3!$B$3:$B$1124)</f>
        <v>SUCRE</v>
      </c>
      <c r="D308" s="40" t="str">
        <f t="shared" si="9"/>
        <v>230</v>
      </c>
      <c r="E308" s="39" t="str">
        <f>+_xlfn.XLOOKUP(A308,Hoja3!$C$3:$C$1124,Hoja3!$D$3:$D$1124)</f>
        <v>CHALÁN</v>
      </c>
      <c r="F308" s="41">
        <v>43992</v>
      </c>
    </row>
    <row r="309" spans="1:6" x14ac:dyDescent="0.25">
      <c r="A309" s="37" t="s">
        <v>228</v>
      </c>
      <c r="B309" s="38" t="str">
        <f t="shared" si="8"/>
        <v>15</v>
      </c>
      <c r="C309" s="39" t="str">
        <f>+_xlfn.XLOOKUP(A309,Hoja3!$C$3:$C$1124,Hoja3!$B$3:$B$1124)</f>
        <v>BOYACÁ</v>
      </c>
      <c r="D309" s="40" t="str">
        <f t="shared" si="9"/>
        <v>232</v>
      </c>
      <c r="E309" s="39" t="str">
        <f>+_xlfn.XLOOKUP(A309,Hoja3!$C$3:$C$1124,Hoja3!$D$3:$D$1124)</f>
        <v>CHÍQUIZA</v>
      </c>
      <c r="F309" s="41">
        <v>44032</v>
      </c>
    </row>
    <row r="310" spans="1:6" x14ac:dyDescent="0.25">
      <c r="A310" s="37" t="s">
        <v>716</v>
      </c>
      <c r="B310" s="38" t="str">
        <f t="shared" si="8"/>
        <v>52</v>
      </c>
      <c r="C310" s="39" t="str">
        <f>+_xlfn.XLOOKUP(A310,Hoja3!$C$3:$C$1124,Hoja3!$B$3:$B$1124)</f>
        <v>NARIÑO</v>
      </c>
      <c r="D310" s="40" t="str">
        <f t="shared" si="9"/>
        <v>233</v>
      </c>
      <c r="E310" s="39" t="str">
        <f>+_xlfn.XLOOKUP(A310,Hoja3!$C$3:$C$1124,Hoja3!$D$3:$D$1124)</f>
        <v>CUMBITARA</v>
      </c>
      <c r="F310" s="41">
        <v>43909</v>
      </c>
    </row>
    <row r="311" spans="1:6" x14ac:dyDescent="0.25">
      <c r="A311" s="37" t="s">
        <v>926</v>
      </c>
      <c r="B311" s="38" t="str">
        <f t="shared" si="8"/>
        <v>70</v>
      </c>
      <c r="C311" s="39" t="str">
        <f>+_xlfn.XLOOKUP(A311,Hoja3!$C$3:$C$1124,Hoja3!$B$3:$B$1124)</f>
        <v>SUCRE</v>
      </c>
      <c r="D311" s="40" t="str">
        <f t="shared" si="9"/>
        <v>233</v>
      </c>
      <c r="E311" s="39" t="str">
        <f>+_xlfn.XLOOKUP(A311,Hoja3!$C$3:$C$1124,Hoja3!$D$3:$D$1124)</f>
        <v>EL ROBLE</v>
      </c>
      <c r="F311" s="41">
        <v>43990</v>
      </c>
    </row>
    <row r="312" spans="1:6" x14ac:dyDescent="0.25">
      <c r="A312" s="37" t="s">
        <v>1000</v>
      </c>
      <c r="B312" s="38" t="str">
        <f t="shared" si="8"/>
        <v>76</v>
      </c>
      <c r="C312" s="39" t="str">
        <f>+_xlfn.XLOOKUP(A312,Hoja3!$C$3:$C$1124,Hoja3!$B$3:$B$1124)</f>
        <v>VALLE DEL CAUCA</v>
      </c>
      <c r="D312" s="40" t="str">
        <f t="shared" si="9"/>
        <v>233</v>
      </c>
      <c r="E312" s="39" t="str">
        <f>+_xlfn.XLOOKUP(A312,Hoja3!$C$3:$C$1124,Hoja3!$D$3:$D$1124)</f>
        <v>DAGUA</v>
      </c>
      <c r="F312" s="41">
        <v>43923</v>
      </c>
    </row>
    <row r="313" spans="1:6" x14ac:dyDescent="0.25">
      <c r="A313" s="37" t="s">
        <v>47</v>
      </c>
      <c r="B313" s="38" t="str">
        <f t="shared" si="8"/>
        <v>05</v>
      </c>
      <c r="C313" s="39" t="str">
        <f>+_xlfn.XLOOKUP(A313,Hoja3!$C$3:$C$1124,Hoja3!$B$3:$B$1124)</f>
        <v>ANTIOQUIA</v>
      </c>
      <c r="D313" s="40" t="str">
        <f t="shared" si="9"/>
        <v>234</v>
      </c>
      <c r="E313" s="39" t="str">
        <f>+_xlfn.XLOOKUP(A313,Hoja3!$C$3:$C$1124,Hoja3!$D$3:$D$1124)</f>
        <v>DABEIBA</v>
      </c>
      <c r="F313" s="41">
        <v>43984</v>
      </c>
    </row>
    <row r="314" spans="1:6" x14ac:dyDescent="0.25">
      <c r="A314" s="37" t="s">
        <v>866</v>
      </c>
      <c r="B314" s="38" t="str">
        <f t="shared" si="8"/>
        <v>68</v>
      </c>
      <c r="C314" s="39" t="str">
        <f>+_xlfn.XLOOKUP(A314,Hoja3!$C$3:$C$1124,Hoja3!$B$3:$B$1124)</f>
        <v>SANTANDER</v>
      </c>
      <c r="D314" s="40" t="str">
        <f t="shared" si="9"/>
        <v>235</v>
      </c>
      <c r="E314" s="39" t="str">
        <f>+_xlfn.XLOOKUP(A314,Hoja3!$C$3:$C$1124,Hoja3!$D$3:$D$1124)</f>
        <v>EL CARMEN DE CHUCURÍ</v>
      </c>
      <c r="F314" s="41">
        <v>44024</v>
      </c>
    </row>
    <row r="315" spans="1:6" x14ac:dyDescent="0.25">
      <c r="A315" s="37" t="s">
        <v>927</v>
      </c>
      <c r="B315" s="38" t="str">
        <f t="shared" si="8"/>
        <v>70</v>
      </c>
      <c r="C315" s="39" t="str">
        <f>+_xlfn.XLOOKUP(A315,Hoja3!$C$3:$C$1124,Hoja3!$B$3:$B$1124)</f>
        <v>SUCRE</v>
      </c>
      <c r="D315" s="40" t="str">
        <f t="shared" si="9"/>
        <v>235</v>
      </c>
      <c r="E315" s="39" t="str">
        <f>+_xlfn.XLOOKUP(A315,Hoja3!$C$3:$C$1124,Hoja3!$D$3:$D$1124)</f>
        <v>GALERAS</v>
      </c>
      <c r="F315" s="41">
        <v>43990</v>
      </c>
    </row>
    <row r="316" spans="1:6" x14ac:dyDescent="0.25">
      <c r="A316" s="37" t="s">
        <v>959</v>
      </c>
      <c r="B316" s="38" t="str">
        <f t="shared" si="8"/>
        <v>73</v>
      </c>
      <c r="C316" s="39" t="str">
        <f>+_xlfn.XLOOKUP(A316,Hoja3!$C$3:$C$1124,Hoja3!$B$3:$B$1124)</f>
        <v>TOLIMA</v>
      </c>
      <c r="D316" s="40" t="str">
        <f t="shared" si="9"/>
        <v>236</v>
      </c>
      <c r="E316" s="39" t="str">
        <f>+_xlfn.XLOOKUP(A316,Hoja3!$C$3:$C$1124,Hoja3!$D$3:$D$1124)</f>
        <v>DOLORES</v>
      </c>
      <c r="F316" s="41">
        <v>44018</v>
      </c>
    </row>
    <row r="317" spans="1:6" x14ac:dyDescent="0.25">
      <c r="A317" s="38" t="s">
        <v>2070</v>
      </c>
      <c r="B317" s="38" t="str">
        <f t="shared" si="8"/>
        <v>15</v>
      </c>
      <c r="C317" s="39" t="str">
        <f>+_xlfn.XLOOKUP(A317,Hoja3!$C$3:$C$1124,Hoja3!$B$3:$B$1124)</f>
        <v>BOYACÁ</v>
      </c>
      <c r="D317" s="40" t="str">
        <f t="shared" si="9"/>
        <v>236</v>
      </c>
      <c r="E317" s="39" t="str">
        <f>+_xlfn.XLOOKUP(A317,Hoja3!$C$3:$C$1124,Hoja3!$D$3:$D$1124)</f>
        <v>CHIVOR</v>
      </c>
      <c r="F317" s="42">
        <v>45658</v>
      </c>
    </row>
    <row r="318" spans="1:6" x14ac:dyDescent="0.25">
      <c r="A318" s="37" t="s">
        <v>48</v>
      </c>
      <c r="B318" s="38" t="str">
        <f t="shared" si="8"/>
        <v>05</v>
      </c>
      <c r="C318" s="39" t="str">
        <f>+_xlfn.XLOOKUP(A318,Hoja3!$C$3:$C$1124,Hoja3!$B$3:$B$1124)</f>
        <v>ANTIOQUIA</v>
      </c>
      <c r="D318" s="40" t="str">
        <f t="shared" si="9"/>
        <v>237</v>
      </c>
      <c r="E318" s="39" t="str">
        <f>+_xlfn.XLOOKUP(A318,Hoja3!$C$3:$C$1124,Hoja3!$D$3:$D$1124)</f>
        <v>DONMATÍAS</v>
      </c>
      <c r="F318" s="41">
        <v>43916</v>
      </c>
    </row>
    <row r="319" spans="1:6" x14ac:dyDescent="0.25">
      <c r="A319" s="37" t="s">
        <v>229</v>
      </c>
      <c r="B319" s="38" t="str">
        <f t="shared" si="8"/>
        <v>15</v>
      </c>
      <c r="C319" s="39" t="str">
        <f>+_xlfn.XLOOKUP(A319,Hoja3!$C$3:$C$1124,Hoja3!$B$3:$B$1124)</f>
        <v>BOYACÁ</v>
      </c>
      <c r="D319" s="40" t="str">
        <f t="shared" si="9"/>
        <v>238</v>
      </c>
      <c r="E319" s="39" t="str">
        <f>+_xlfn.XLOOKUP(A319,Hoja3!$C$3:$C$1124,Hoja3!$D$3:$D$1124)</f>
        <v>DUITAMA</v>
      </c>
      <c r="F319" s="41">
        <v>43941</v>
      </c>
    </row>
    <row r="320" spans="1:6" x14ac:dyDescent="0.25">
      <c r="A320" s="37" t="s">
        <v>410</v>
      </c>
      <c r="B320" s="38" t="str">
        <f t="shared" si="8"/>
        <v>20</v>
      </c>
      <c r="C320" s="39" t="str">
        <f>+_xlfn.XLOOKUP(A320,Hoja3!$C$3:$C$1124,Hoja3!$B$3:$B$1124)</f>
        <v>CESAR</v>
      </c>
      <c r="D320" s="40" t="str">
        <f t="shared" si="9"/>
        <v>238</v>
      </c>
      <c r="E320" s="39" t="str">
        <f>+_xlfn.XLOOKUP(A320,Hoja3!$C$3:$C$1124,Hoja3!$D$3:$D$1124)</f>
        <v>EL COPEY</v>
      </c>
      <c r="F320" s="41">
        <v>43972</v>
      </c>
    </row>
    <row r="321" spans="1:6" x14ac:dyDescent="0.25">
      <c r="A321" s="37" t="s">
        <v>775</v>
      </c>
      <c r="B321" s="38" t="str">
        <f t="shared" si="8"/>
        <v>54</v>
      </c>
      <c r="C321" s="39" t="str">
        <f>+_xlfn.XLOOKUP(A321,Hoja3!$C$3:$C$1124,Hoja3!$B$3:$B$1124)</f>
        <v>NORTE DE SANTANDER</v>
      </c>
      <c r="D321" s="40" t="str">
        <f t="shared" si="9"/>
        <v>239</v>
      </c>
      <c r="E321" s="39" t="str">
        <f>+_xlfn.XLOOKUP(A321,Hoja3!$C$3:$C$1124,Hoja3!$D$3:$D$1124)</f>
        <v>DURANIA</v>
      </c>
      <c r="F321" s="41">
        <v>44010</v>
      </c>
    </row>
    <row r="322" spans="1:6" x14ac:dyDescent="0.25">
      <c r="A322" s="37" t="s">
        <v>49</v>
      </c>
      <c r="B322" s="38" t="str">
        <f t="shared" ref="B322:B385" si="10">MID(A322,1,2)</f>
        <v>05</v>
      </c>
      <c r="C322" s="39" t="str">
        <f>+_xlfn.XLOOKUP(A322,Hoja3!$C$3:$C$1124,Hoja3!$B$3:$B$1124)</f>
        <v>ANTIOQUIA</v>
      </c>
      <c r="D322" s="40" t="str">
        <f t="shared" ref="D322:D385" si="11">MID(A322,3,3)</f>
        <v>240</v>
      </c>
      <c r="E322" s="39" t="str">
        <f>+_xlfn.XLOOKUP(A322,Hoja3!$C$3:$C$1124,Hoja3!$D$3:$D$1124)</f>
        <v>EBÉJICO</v>
      </c>
      <c r="F322" s="41">
        <v>44002</v>
      </c>
    </row>
    <row r="323" spans="1:6" x14ac:dyDescent="0.25">
      <c r="A323" s="37" t="s">
        <v>717</v>
      </c>
      <c r="B323" s="38" t="str">
        <f t="shared" si="10"/>
        <v>52</v>
      </c>
      <c r="C323" s="39" t="str">
        <f>+_xlfn.XLOOKUP(A323,Hoja3!$C$3:$C$1124,Hoja3!$B$3:$B$1124)</f>
        <v>NARIÑO</v>
      </c>
      <c r="D323" s="40" t="str">
        <f t="shared" si="11"/>
        <v>240</v>
      </c>
      <c r="E323" s="39" t="str">
        <f>+_xlfn.XLOOKUP(A323,Hoja3!$C$3:$C$1124,Hoja3!$D$3:$D$1124)</f>
        <v>CHACHAGÜÍ</v>
      </c>
      <c r="F323" s="41">
        <v>43970</v>
      </c>
    </row>
    <row r="324" spans="1:6" x14ac:dyDescent="0.25">
      <c r="A324" s="37" t="s">
        <v>1001</v>
      </c>
      <c r="B324" s="38" t="str">
        <f t="shared" si="10"/>
        <v>76</v>
      </c>
      <c r="C324" s="39" t="str">
        <f>+_xlfn.XLOOKUP(A324,Hoja3!$C$3:$C$1124,Hoja3!$B$3:$B$1124)</f>
        <v>VALLE DEL CAUCA</v>
      </c>
      <c r="D324" s="40" t="str">
        <f t="shared" si="11"/>
        <v>243</v>
      </c>
      <c r="E324" s="39" t="str">
        <f>+_xlfn.XLOOKUP(A324,Hoja3!$C$3:$C$1124,Hoja3!$D$3:$D$1124)</f>
        <v>EL ÁGUILA</v>
      </c>
      <c r="F324" s="41">
        <v>43999</v>
      </c>
    </row>
    <row r="325" spans="1:6" x14ac:dyDescent="0.25">
      <c r="A325" s="37" t="s">
        <v>171</v>
      </c>
      <c r="B325" s="38" t="str">
        <f t="shared" si="10"/>
        <v>13</v>
      </c>
      <c r="C325" s="39" t="str">
        <f>+_xlfn.XLOOKUP(A325,Hoja3!$C$3:$C$1124,Hoja3!$B$3:$B$1124)</f>
        <v>BOLÍVAR</v>
      </c>
      <c r="D325" s="40" t="str">
        <f t="shared" si="11"/>
        <v>244</v>
      </c>
      <c r="E325" s="39" t="str">
        <f>+_xlfn.XLOOKUP(A325,Hoja3!$C$3:$C$1124,Hoja3!$D$3:$D$1124)</f>
        <v>EL CARMEN DE BOLÍVAR</v>
      </c>
      <c r="F325" s="41">
        <v>43975</v>
      </c>
    </row>
    <row r="326" spans="1:6" x14ac:dyDescent="0.25">
      <c r="A326" s="37" t="s">
        <v>230</v>
      </c>
      <c r="B326" s="38" t="str">
        <f t="shared" si="10"/>
        <v>15</v>
      </c>
      <c r="C326" s="39" t="str">
        <f>+_xlfn.XLOOKUP(A326,Hoja3!$C$3:$C$1124,Hoja3!$B$3:$B$1124)</f>
        <v>BOYACÁ</v>
      </c>
      <c r="D326" s="40" t="str">
        <f t="shared" si="11"/>
        <v>244</v>
      </c>
      <c r="E326" s="39" t="str">
        <f>+_xlfn.XLOOKUP(A326,Hoja3!$C$3:$C$1124,Hoja3!$D$3:$D$1124)</f>
        <v>EL COCUY</v>
      </c>
      <c r="F326" s="41">
        <v>44050</v>
      </c>
    </row>
    <row r="327" spans="1:6" x14ac:dyDescent="0.25">
      <c r="A327" s="37" t="s">
        <v>604</v>
      </c>
      <c r="B327" s="38" t="str">
        <f t="shared" si="10"/>
        <v>41</v>
      </c>
      <c r="C327" s="39" t="str">
        <f>+_xlfn.XLOOKUP(A327,Hoja3!$C$3:$C$1124,Hoja3!$B$3:$B$1124)</f>
        <v>HUILA</v>
      </c>
      <c r="D327" s="40" t="str">
        <f t="shared" si="11"/>
        <v>244</v>
      </c>
      <c r="E327" s="39" t="str">
        <f>+_xlfn.XLOOKUP(A327,Hoja3!$C$3:$C$1124,Hoja3!$D$3:$D$1124)</f>
        <v>ELÍAS</v>
      </c>
      <c r="F327" s="41">
        <v>44034</v>
      </c>
    </row>
    <row r="328" spans="1:6" x14ac:dyDescent="0.25">
      <c r="A328" s="37" t="s">
        <v>654</v>
      </c>
      <c r="B328" s="38" t="str">
        <f t="shared" si="10"/>
        <v>47</v>
      </c>
      <c r="C328" s="39" t="str">
        <f>+_xlfn.XLOOKUP(A328,Hoja3!$C$3:$C$1124,Hoja3!$B$3:$B$1124)</f>
        <v>MAGDALENA</v>
      </c>
      <c r="D328" s="40" t="str">
        <f t="shared" si="11"/>
        <v>245</v>
      </c>
      <c r="E328" s="39" t="str">
        <f>+_xlfn.XLOOKUP(A328,Hoja3!$C$3:$C$1124,Hoja3!$D$3:$D$1124)</f>
        <v>EL BANCO</v>
      </c>
      <c r="F328" s="41">
        <v>43929</v>
      </c>
    </row>
    <row r="329" spans="1:6" x14ac:dyDescent="0.25">
      <c r="A329" s="37" t="s">
        <v>438</v>
      </c>
      <c r="B329" s="38" t="str">
        <f t="shared" si="10"/>
        <v>27</v>
      </c>
      <c r="C329" s="39" t="str">
        <f>+_xlfn.XLOOKUP(A329,Hoja3!$C$3:$C$1124,Hoja3!$B$3:$B$1124)</f>
        <v>CHOCÓ</v>
      </c>
      <c r="D329" s="40" t="str">
        <f t="shared" si="11"/>
        <v>245</v>
      </c>
      <c r="E329" s="39" t="str">
        <f>+_xlfn.XLOOKUP(A329,Hoja3!$C$3:$C$1124,Hoja3!$D$3:$D$1124)</f>
        <v>EL CARMEN DE ATRATO</v>
      </c>
      <c r="F329" s="41">
        <v>43983</v>
      </c>
    </row>
    <row r="330" spans="1:6" x14ac:dyDescent="0.25">
      <c r="A330" s="37" t="s">
        <v>503</v>
      </c>
      <c r="B330" s="38" t="str">
        <f t="shared" si="10"/>
        <v>25</v>
      </c>
      <c r="C330" s="39" t="str">
        <f>+_xlfn.XLOOKUP(A330,Hoja3!$C$3:$C$1124,Hoja3!$B$3:$B$1124)</f>
        <v>CUNDINAMARCA</v>
      </c>
      <c r="D330" s="40" t="str">
        <f t="shared" si="11"/>
        <v>245</v>
      </c>
      <c r="E330" s="39" t="str">
        <f>+_xlfn.XLOOKUP(A330,Hoja3!$C$3:$C$1124,Hoja3!$D$3:$D$1124)</f>
        <v>EL COLEGIO</v>
      </c>
      <c r="F330" s="41">
        <v>43924</v>
      </c>
    </row>
    <row r="331" spans="1:6" x14ac:dyDescent="0.25">
      <c r="A331" s="37" t="s">
        <v>776</v>
      </c>
      <c r="B331" s="38" t="str">
        <f t="shared" si="10"/>
        <v>54</v>
      </c>
      <c r="C331" s="39" t="str">
        <f>+_xlfn.XLOOKUP(A331,Hoja3!$C$3:$C$1124,Hoja3!$B$3:$B$1124)</f>
        <v>NORTE DE SANTANDER</v>
      </c>
      <c r="D331" s="40" t="str">
        <f t="shared" si="11"/>
        <v>245</v>
      </c>
      <c r="E331" s="39" t="str">
        <f>+_xlfn.XLOOKUP(A331,Hoja3!$C$3:$C$1124,Hoja3!$D$3:$D$1124)</f>
        <v>EL CARMEN</v>
      </c>
      <c r="F331" s="41">
        <v>44023</v>
      </c>
    </row>
    <row r="332" spans="1:6" x14ac:dyDescent="0.25">
      <c r="A332" s="37" t="s">
        <v>867</v>
      </c>
      <c r="B332" s="38" t="str">
        <f t="shared" si="10"/>
        <v>68</v>
      </c>
      <c r="C332" s="39" t="str">
        <f>+_xlfn.XLOOKUP(A332,Hoja3!$C$3:$C$1124,Hoja3!$B$3:$B$1124)</f>
        <v>SANTANDER</v>
      </c>
      <c r="D332" s="40" t="str">
        <f t="shared" si="11"/>
        <v>245</v>
      </c>
      <c r="E332" s="39" t="str">
        <f>+_xlfn.XLOOKUP(A332,Hoja3!$C$3:$C$1124,Hoja3!$D$3:$D$1124)</f>
        <v>EL GUACAMAYO</v>
      </c>
      <c r="F332" s="41">
        <v>44042</v>
      </c>
    </row>
    <row r="333" spans="1:6" x14ac:dyDescent="0.25">
      <c r="A333" s="38" t="s">
        <v>2049</v>
      </c>
      <c r="B333" s="38" t="str">
        <f t="shared" si="10"/>
        <v>50</v>
      </c>
      <c r="C333" s="39" t="str">
        <f>+_xlfn.XLOOKUP(A333,Hoja3!$C$3:$C$1124,Hoja3!$B$3:$B$1124)</f>
        <v>META</v>
      </c>
      <c r="D333" s="40" t="str">
        <f t="shared" si="11"/>
        <v>245</v>
      </c>
      <c r="E333" s="39" t="str">
        <f>+_xlfn.XLOOKUP(A333,Hoja3!$C$3:$C$1124,Hoja3!$D$3:$D$1124)</f>
        <v>EL CALVARIO</v>
      </c>
      <c r="F333" s="42">
        <v>45658</v>
      </c>
    </row>
    <row r="334" spans="1:6" x14ac:dyDescent="0.25">
      <c r="A334" s="37" t="s">
        <v>1002</v>
      </c>
      <c r="B334" s="38" t="str">
        <f t="shared" si="10"/>
        <v>76</v>
      </c>
      <c r="C334" s="39" t="str">
        <f>+_xlfn.XLOOKUP(A334,Hoja3!$C$3:$C$1124,Hoja3!$B$3:$B$1124)</f>
        <v>VALLE DEL CAUCA</v>
      </c>
      <c r="D334" s="40" t="str">
        <f t="shared" si="11"/>
        <v>246</v>
      </c>
      <c r="E334" s="39" t="str">
        <f>+_xlfn.XLOOKUP(A334,Hoja3!$C$3:$C$1124,Hoja3!$D$3:$D$1124)</f>
        <v>EL CAIRO</v>
      </c>
      <c r="F334" s="41">
        <v>43976</v>
      </c>
    </row>
    <row r="335" spans="1:6" x14ac:dyDescent="0.25">
      <c r="A335" s="37" t="s">
        <v>337</v>
      </c>
      <c r="B335" s="38" t="str">
        <f t="shared" si="10"/>
        <v>18</v>
      </c>
      <c r="C335" s="39" t="str">
        <f>+_xlfn.XLOOKUP(A335,Hoja3!$C$3:$C$1124,Hoja3!$B$3:$B$1124)</f>
        <v>CAQUETÁ</v>
      </c>
      <c r="D335" s="40" t="str">
        <f t="shared" si="11"/>
        <v>247</v>
      </c>
      <c r="E335" s="39" t="str">
        <f>+_xlfn.XLOOKUP(A335,Hoja3!$C$3:$C$1124,Hoja3!$D$3:$D$1124)</f>
        <v>EL DONCELLO</v>
      </c>
      <c r="F335" s="41">
        <v>44008</v>
      </c>
    </row>
    <row r="336" spans="1:6" x14ac:dyDescent="0.25">
      <c r="A336" s="37" t="s">
        <v>172</v>
      </c>
      <c r="B336" s="38" t="str">
        <f t="shared" si="10"/>
        <v>13</v>
      </c>
      <c r="C336" s="39" t="str">
        <f>+_xlfn.XLOOKUP(A336,Hoja3!$C$3:$C$1124,Hoja3!$B$3:$B$1124)</f>
        <v>BOLÍVAR</v>
      </c>
      <c r="D336" s="40" t="str">
        <f t="shared" si="11"/>
        <v>248</v>
      </c>
      <c r="E336" s="39" t="str">
        <f>+_xlfn.XLOOKUP(A336,Hoja3!$C$3:$C$1124,Hoja3!$D$3:$D$1124)</f>
        <v>EL GUAMO</v>
      </c>
      <c r="F336" s="41">
        <v>44036</v>
      </c>
    </row>
    <row r="337" spans="1:6" x14ac:dyDescent="0.25">
      <c r="A337" s="37" t="s">
        <v>231</v>
      </c>
      <c r="B337" s="38" t="str">
        <f t="shared" si="10"/>
        <v>15</v>
      </c>
      <c r="C337" s="39" t="str">
        <f>+_xlfn.XLOOKUP(A337,Hoja3!$C$3:$C$1124,Hoja3!$B$3:$B$1124)</f>
        <v>BOYACÁ</v>
      </c>
      <c r="D337" s="40" t="str">
        <f t="shared" si="11"/>
        <v>248</v>
      </c>
      <c r="E337" s="39" t="str">
        <f>+_xlfn.XLOOKUP(A337,Hoja3!$C$3:$C$1124,Hoja3!$D$3:$D$1124)</f>
        <v>EL ESPINO</v>
      </c>
      <c r="F337" s="41">
        <v>44049</v>
      </c>
    </row>
    <row r="338" spans="1:6" x14ac:dyDescent="0.25">
      <c r="A338" s="37" t="s">
        <v>1003</v>
      </c>
      <c r="B338" s="38" t="str">
        <f t="shared" si="10"/>
        <v>76</v>
      </c>
      <c r="C338" s="39" t="str">
        <f>+_xlfn.XLOOKUP(A338,Hoja3!$C$3:$C$1124,Hoja3!$B$3:$B$1124)</f>
        <v>VALLE DEL CAUCA</v>
      </c>
      <c r="D338" s="40" t="str">
        <f t="shared" si="11"/>
        <v>248</v>
      </c>
      <c r="E338" s="39" t="str">
        <f>+_xlfn.XLOOKUP(A338,Hoja3!$C$3:$C$1124,Hoja3!$D$3:$D$1124)</f>
        <v>EL CERRITO</v>
      </c>
      <c r="F338" s="41">
        <v>43915</v>
      </c>
    </row>
    <row r="339" spans="1:6" x14ac:dyDescent="0.25">
      <c r="A339" s="37" t="s">
        <v>50</v>
      </c>
      <c r="B339" s="38" t="str">
        <f t="shared" si="10"/>
        <v>05</v>
      </c>
      <c r="C339" s="39" t="str">
        <f>+_xlfn.XLOOKUP(A339,Hoja3!$C$3:$C$1124,Hoja3!$B$3:$B$1124)</f>
        <v>ANTIOQUIA</v>
      </c>
      <c r="D339" s="40" t="str">
        <f t="shared" si="11"/>
        <v>250</v>
      </c>
      <c r="E339" s="39" t="str">
        <f>+_xlfn.XLOOKUP(A339,Hoja3!$C$3:$C$1124,Hoja3!$D$3:$D$1124)</f>
        <v>EL BAGRE</v>
      </c>
      <c r="F339" s="41">
        <v>43959</v>
      </c>
    </row>
    <row r="340" spans="1:6" x14ac:dyDescent="0.25">
      <c r="A340" s="37" t="s">
        <v>355</v>
      </c>
      <c r="B340" s="38" t="str">
        <f t="shared" si="10"/>
        <v>85</v>
      </c>
      <c r="C340" s="39" t="str">
        <f>+_xlfn.XLOOKUP(A340,Hoja3!$C$3:$C$1124,Hoja3!$B$3:$B$1124)</f>
        <v>CASANARE</v>
      </c>
      <c r="D340" s="40" t="str">
        <f t="shared" si="11"/>
        <v>250</v>
      </c>
      <c r="E340" s="39" t="str">
        <f>+_xlfn.XLOOKUP(A340,Hoja3!$C$3:$C$1124,Hoja3!$D$3:$D$1124)</f>
        <v>PAZ DE ARIPORO</v>
      </c>
      <c r="F340" s="41">
        <v>43941</v>
      </c>
    </row>
    <row r="341" spans="1:6" x14ac:dyDescent="0.25">
      <c r="A341" s="37" t="s">
        <v>411</v>
      </c>
      <c r="B341" s="38" t="str">
        <f t="shared" si="10"/>
        <v>20</v>
      </c>
      <c r="C341" s="39" t="str">
        <f>+_xlfn.XLOOKUP(A341,Hoja3!$C$3:$C$1124,Hoja3!$B$3:$B$1124)</f>
        <v>CESAR</v>
      </c>
      <c r="D341" s="40" t="str">
        <f t="shared" si="11"/>
        <v>250</v>
      </c>
      <c r="E341" s="39" t="str">
        <f>+_xlfn.XLOOKUP(A341,Hoja3!$C$3:$C$1124,Hoja3!$D$3:$D$1124)</f>
        <v>EL PASO</v>
      </c>
      <c r="F341" s="41">
        <v>43963</v>
      </c>
    </row>
    <row r="342" spans="1:6" x14ac:dyDescent="0.25">
      <c r="A342" s="37" t="s">
        <v>439</v>
      </c>
      <c r="B342" s="38" t="str">
        <f t="shared" si="10"/>
        <v>27</v>
      </c>
      <c r="C342" s="39" t="str">
        <f>+_xlfn.XLOOKUP(A342,Hoja3!$C$3:$C$1124,Hoja3!$B$3:$B$1124)</f>
        <v>CHOCÓ</v>
      </c>
      <c r="D342" s="40" t="str">
        <f t="shared" si="11"/>
        <v>250</v>
      </c>
      <c r="E342" s="39" t="str">
        <f>+_xlfn.XLOOKUP(A342,Hoja3!$C$3:$C$1124,Hoja3!$D$3:$D$1124)</f>
        <v>EL LITORAL DEL SAN JUAN</v>
      </c>
      <c r="F342" s="41">
        <v>44044</v>
      </c>
    </row>
    <row r="343" spans="1:6" x14ac:dyDescent="0.25">
      <c r="A343" s="37" t="s">
        <v>718</v>
      </c>
      <c r="B343" s="38" t="str">
        <f t="shared" si="10"/>
        <v>52</v>
      </c>
      <c r="C343" s="39" t="str">
        <f>+_xlfn.XLOOKUP(A343,Hoja3!$C$3:$C$1124,Hoja3!$B$3:$B$1124)</f>
        <v>NARIÑO</v>
      </c>
      <c r="D343" s="40" t="str">
        <f t="shared" si="11"/>
        <v>250</v>
      </c>
      <c r="E343" s="39" t="str">
        <f>+_xlfn.XLOOKUP(A343,Hoja3!$C$3:$C$1124,Hoja3!$D$3:$D$1124)</f>
        <v>EL CHARCO</v>
      </c>
      <c r="F343" s="41">
        <v>43965</v>
      </c>
    </row>
    <row r="344" spans="1:6" x14ac:dyDescent="0.25">
      <c r="A344" s="37" t="s">
        <v>777</v>
      </c>
      <c r="B344" s="38" t="str">
        <f t="shared" si="10"/>
        <v>54</v>
      </c>
      <c r="C344" s="39" t="str">
        <f>+_xlfn.XLOOKUP(A344,Hoja3!$C$3:$C$1124,Hoja3!$B$3:$B$1124)</f>
        <v>NORTE DE SANTANDER</v>
      </c>
      <c r="D344" s="40" t="str">
        <f t="shared" si="11"/>
        <v>250</v>
      </c>
      <c r="E344" s="39" t="str">
        <f>+_xlfn.XLOOKUP(A344,Hoja3!$C$3:$C$1124,Hoja3!$D$3:$D$1124)</f>
        <v>EL TARRA</v>
      </c>
      <c r="F344" s="41">
        <v>44019</v>
      </c>
    </row>
    <row r="345" spans="1:6" x14ac:dyDescent="0.25">
      <c r="A345" s="37" t="s">
        <v>868</v>
      </c>
      <c r="B345" s="38" t="str">
        <f t="shared" si="10"/>
        <v>68</v>
      </c>
      <c r="C345" s="39" t="str">
        <f>+_xlfn.XLOOKUP(A345,Hoja3!$C$3:$C$1124,Hoja3!$B$3:$B$1124)</f>
        <v>SANTANDER</v>
      </c>
      <c r="D345" s="40" t="str">
        <f t="shared" si="11"/>
        <v>250</v>
      </c>
      <c r="E345" s="39" t="str">
        <f>+_xlfn.XLOOKUP(A345,Hoja3!$C$3:$C$1124,Hoja3!$D$3:$D$1124)</f>
        <v>EL PEÑÓN</v>
      </c>
      <c r="F345" s="41">
        <v>44008</v>
      </c>
    </row>
    <row r="346" spans="1:6" x14ac:dyDescent="0.25">
      <c r="A346" s="37" t="s">
        <v>1004</v>
      </c>
      <c r="B346" s="38" t="str">
        <f t="shared" si="10"/>
        <v>76</v>
      </c>
      <c r="C346" s="39" t="str">
        <f>+_xlfn.XLOOKUP(A346,Hoja3!$C$3:$C$1124,Hoja3!$B$3:$B$1124)</f>
        <v>VALLE DEL CAUCA</v>
      </c>
      <c r="D346" s="40" t="str">
        <f t="shared" si="11"/>
        <v>250</v>
      </c>
      <c r="E346" s="39" t="str">
        <f>+_xlfn.XLOOKUP(A346,Hoja3!$C$3:$C$1124,Hoja3!$D$3:$D$1124)</f>
        <v>EL DOVIO</v>
      </c>
      <c r="F346" s="41">
        <v>43902</v>
      </c>
    </row>
    <row r="347" spans="1:6" x14ac:dyDescent="0.25">
      <c r="A347" s="37" t="s">
        <v>683</v>
      </c>
      <c r="B347" s="38" t="str">
        <f t="shared" si="10"/>
        <v>50</v>
      </c>
      <c r="C347" s="39" t="str">
        <f>+_xlfn.XLOOKUP(A347,Hoja3!$C$3:$C$1124,Hoja3!$B$3:$B$1124)</f>
        <v>META</v>
      </c>
      <c r="D347" s="40" t="str">
        <f t="shared" si="11"/>
        <v>251</v>
      </c>
      <c r="E347" s="39" t="str">
        <f>+_xlfn.XLOOKUP(A347,Hoja3!$C$3:$C$1124,Hoja3!$D$3:$D$1124)</f>
        <v>EL CASTILLO</v>
      </c>
      <c r="F347" s="41">
        <v>44014</v>
      </c>
    </row>
    <row r="348" spans="1:6" x14ac:dyDescent="0.25">
      <c r="A348" s="37" t="s">
        <v>719</v>
      </c>
      <c r="B348" s="38" t="str">
        <f t="shared" si="10"/>
        <v>52</v>
      </c>
      <c r="C348" s="39" t="str">
        <f>+_xlfn.XLOOKUP(A348,Hoja3!$C$3:$C$1124,Hoja3!$B$3:$B$1124)</f>
        <v>NARIÑO</v>
      </c>
      <c r="D348" s="40" t="str">
        <f t="shared" si="11"/>
        <v>254</v>
      </c>
      <c r="E348" s="39" t="str">
        <f>+_xlfn.XLOOKUP(A348,Hoja3!$C$3:$C$1124,Hoja3!$D$3:$D$1124)</f>
        <v>EL PEÑOL</v>
      </c>
      <c r="F348" s="41">
        <v>43984</v>
      </c>
    </row>
    <row r="349" spans="1:6" x14ac:dyDescent="0.25">
      <c r="A349" s="37" t="s">
        <v>869</v>
      </c>
      <c r="B349" s="38" t="str">
        <f t="shared" si="10"/>
        <v>68</v>
      </c>
      <c r="C349" s="39" t="str">
        <f>+_xlfn.XLOOKUP(A349,Hoja3!$C$3:$C$1124,Hoja3!$B$3:$B$1124)</f>
        <v>SANTANDER</v>
      </c>
      <c r="D349" s="40" t="str">
        <f t="shared" si="11"/>
        <v>255</v>
      </c>
      <c r="E349" s="39" t="str">
        <f>+_xlfn.XLOOKUP(A349,Hoja3!$C$3:$C$1124,Hoja3!$D$3:$D$1124)</f>
        <v>EL PLAYÓN</v>
      </c>
      <c r="F349" s="41">
        <v>44022</v>
      </c>
    </row>
    <row r="350" spans="1:6" x14ac:dyDescent="0.25">
      <c r="A350" s="37" t="s">
        <v>338</v>
      </c>
      <c r="B350" s="38" t="str">
        <f t="shared" si="10"/>
        <v>18</v>
      </c>
      <c r="C350" s="39" t="str">
        <f>+_xlfn.XLOOKUP(A350,Hoja3!$C$3:$C$1124,Hoja3!$B$3:$B$1124)</f>
        <v>CAQUETÁ</v>
      </c>
      <c r="D350" s="40" t="str">
        <f t="shared" si="11"/>
        <v>256</v>
      </c>
      <c r="E350" s="39" t="str">
        <f>+_xlfn.XLOOKUP(A350,Hoja3!$C$3:$C$1124,Hoja3!$D$3:$D$1124)</f>
        <v>EL PAUJÍL</v>
      </c>
      <c r="F350" s="41">
        <v>44013</v>
      </c>
    </row>
    <row r="351" spans="1:6" x14ac:dyDescent="0.25">
      <c r="A351" s="37" t="s">
        <v>372</v>
      </c>
      <c r="B351" s="38" t="str">
        <f t="shared" si="10"/>
        <v>19</v>
      </c>
      <c r="C351" s="39" t="str">
        <f>+_xlfn.XLOOKUP(A351,Hoja3!$C$3:$C$1124,Hoja3!$B$3:$B$1124)</f>
        <v>CAUCA</v>
      </c>
      <c r="D351" s="40" t="str">
        <f t="shared" si="11"/>
        <v>256</v>
      </c>
      <c r="E351" s="39" t="str">
        <f>+_xlfn.XLOOKUP(A351,Hoja3!$C$3:$C$1124,Hoja3!$D$3:$D$1124)</f>
        <v>EL TAMBO</v>
      </c>
      <c r="F351" s="41">
        <v>43922</v>
      </c>
    </row>
    <row r="352" spans="1:6" x14ac:dyDescent="0.25">
      <c r="A352" s="37" t="s">
        <v>720</v>
      </c>
      <c r="B352" s="38" t="str">
        <f t="shared" si="10"/>
        <v>52</v>
      </c>
      <c r="C352" s="39" t="str">
        <f>+_xlfn.XLOOKUP(A352,Hoja3!$C$3:$C$1124,Hoja3!$B$3:$B$1124)</f>
        <v>NARIÑO</v>
      </c>
      <c r="D352" s="40" t="str">
        <f t="shared" si="11"/>
        <v>256</v>
      </c>
      <c r="E352" s="39" t="str">
        <f>+_xlfn.XLOOKUP(A352,Hoja3!$C$3:$C$1124,Hoja3!$D$3:$D$1124)</f>
        <v>EL ROSARIO</v>
      </c>
      <c r="F352" s="41">
        <v>44064</v>
      </c>
    </row>
    <row r="353" spans="1:6" x14ac:dyDescent="0.25">
      <c r="A353" s="37" t="s">
        <v>504</v>
      </c>
      <c r="B353" s="38" t="str">
        <f t="shared" si="10"/>
        <v>25</v>
      </c>
      <c r="C353" s="39" t="str">
        <f>+_xlfn.XLOOKUP(A353,Hoja3!$C$3:$C$1124,Hoja3!$B$3:$B$1124)</f>
        <v>CUNDINAMARCA</v>
      </c>
      <c r="D353" s="40" t="str">
        <f t="shared" si="11"/>
        <v>258</v>
      </c>
      <c r="E353" s="39" t="str">
        <f>+_xlfn.XLOOKUP(A353,Hoja3!$C$3:$C$1124,Hoja3!$D$3:$D$1124)</f>
        <v>EL PEÑÓN</v>
      </c>
      <c r="F353" s="41">
        <v>43954</v>
      </c>
    </row>
    <row r="354" spans="1:6" x14ac:dyDescent="0.25">
      <c r="A354" s="37" t="s">
        <v>655</v>
      </c>
      <c r="B354" s="38" t="str">
        <f t="shared" si="10"/>
        <v>47</v>
      </c>
      <c r="C354" s="39" t="str">
        <f>+_xlfn.XLOOKUP(A354,Hoja3!$C$3:$C$1124,Hoja3!$B$3:$B$1124)</f>
        <v>MAGDALENA</v>
      </c>
      <c r="D354" s="40" t="str">
        <f t="shared" si="11"/>
        <v>258</v>
      </c>
      <c r="E354" s="39" t="str">
        <f>+_xlfn.XLOOKUP(A354,Hoja3!$C$3:$C$1124,Hoja3!$D$3:$D$1124)</f>
        <v>EL PIÑÓN</v>
      </c>
      <c r="F354" s="41">
        <v>43965</v>
      </c>
    </row>
    <row r="355" spans="1:6" x14ac:dyDescent="0.25">
      <c r="A355" s="38" t="s">
        <v>2111</v>
      </c>
      <c r="B355" s="38" t="str">
        <f t="shared" si="10"/>
        <v>52</v>
      </c>
      <c r="C355" s="39" t="str">
        <f>+_xlfn.XLOOKUP(A355,Hoja3!$C$3:$C$1124,Hoja3!$B$3:$B$1124)</f>
        <v>NARIÑO</v>
      </c>
      <c r="D355" s="40" t="str">
        <f t="shared" si="11"/>
        <v>258</v>
      </c>
      <c r="E355" s="39" t="str">
        <f>+_xlfn.XLOOKUP(A355,Hoja3!$C$3:$C$1124,Hoja3!$D$3:$D$1124)</f>
        <v>EL TABLÓN DE GÓMEZ</v>
      </c>
      <c r="F355" s="42">
        <v>45658</v>
      </c>
    </row>
    <row r="356" spans="1:6" x14ac:dyDescent="0.25">
      <c r="A356" s="37" t="s">
        <v>505</v>
      </c>
      <c r="B356" s="38" t="str">
        <f t="shared" si="10"/>
        <v>25</v>
      </c>
      <c r="C356" s="39" t="str">
        <f>+_xlfn.XLOOKUP(A356,Hoja3!$C$3:$C$1124,Hoja3!$B$3:$B$1124)</f>
        <v>CUNDINAMARCA</v>
      </c>
      <c r="D356" s="40" t="str">
        <f t="shared" si="11"/>
        <v>260</v>
      </c>
      <c r="E356" s="39" t="str">
        <f>+_xlfn.XLOOKUP(A356,Hoja3!$C$3:$C$1124,Hoja3!$D$3:$D$1124)</f>
        <v>EL ROSAL</v>
      </c>
      <c r="F356" s="41">
        <v>43979</v>
      </c>
    </row>
    <row r="357" spans="1:6" x14ac:dyDescent="0.25">
      <c r="A357" s="37" t="s">
        <v>721</v>
      </c>
      <c r="B357" s="38" t="str">
        <f t="shared" si="10"/>
        <v>52</v>
      </c>
      <c r="C357" s="39" t="str">
        <f>+_xlfn.XLOOKUP(A357,Hoja3!$C$3:$C$1124,Hoja3!$B$3:$B$1124)</f>
        <v>NARIÑO</v>
      </c>
      <c r="D357" s="40" t="str">
        <f t="shared" si="11"/>
        <v>260</v>
      </c>
      <c r="E357" s="39" t="str">
        <f>+_xlfn.XLOOKUP(A357,Hoja3!$C$3:$C$1124,Hoja3!$D$3:$D$1124)</f>
        <v>EL TAMBO</v>
      </c>
      <c r="F357" s="41">
        <v>43974</v>
      </c>
    </row>
    <row r="358" spans="1:6" x14ac:dyDescent="0.25">
      <c r="A358" s="37" t="s">
        <v>778</v>
      </c>
      <c r="B358" s="38" t="str">
        <f t="shared" si="10"/>
        <v>54</v>
      </c>
      <c r="C358" s="39" t="str">
        <f>+_xlfn.XLOOKUP(A358,Hoja3!$C$3:$C$1124,Hoja3!$B$3:$B$1124)</f>
        <v>NORTE DE SANTANDER</v>
      </c>
      <c r="D358" s="40" t="str">
        <f t="shared" si="11"/>
        <v>261</v>
      </c>
      <c r="E358" s="39" t="str">
        <f>+_xlfn.XLOOKUP(A358,Hoja3!$C$3:$C$1124,Hoja3!$D$3:$D$1124)</f>
        <v>EL ZULIA</v>
      </c>
      <c r="F358" s="41">
        <v>43956</v>
      </c>
    </row>
    <row r="359" spans="1:6" x14ac:dyDescent="0.25">
      <c r="A359" s="37" t="s">
        <v>356</v>
      </c>
      <c r="B359" s="38" t="str">
        <f t="shared" si="10"/>
        <v>85</v>
      </c>
      <c r="C359" s="39" t="str">
        <f>+_xlfn.XLOOKUP(A359,Hoja3!$C$3:$C$1124,Hoja3!$B$3:$B$1124)</f>
        <v>CASANARE</v>
      </c>
      <c r="D359" s="40" t="str">
        <f t="shared" si="11"/>
        <v>263</v>
      </c>
      <c r="E359" s="39" t="str">
        <f>+_xlfn.XLOOKUP(A359,Hoja3!$C$3:$C$1124,Hoja3!$D$3:$D$1124)</f>
        <v>PORE</v>
      </c>
      <c r="F359" s="41">
        <v>43997</v>
      </c>
    </row>
    <row r="360" spans="1:6" x14ac:dyDescent="0.25">
      <c r="A360" s="38" t="s">
        <v>2043</v>
      </c>
      <c r="B360" s="38" t="str">
        <f t="shared" si="10"/>
        <v>91</v>
      </c>
      <c r="C360" s="39" t="str">
        <f>+_xlfn.XLOOKUP(A360,Hoja3!$C$3:$C$1124,Hoja3!$B$3:$B$1124)</f>
        <v>AMAZONAS</v>
      </c>
      <c r="D360" s="40" t="str">
        <f t="shared" si="11"/>
        <v>263</v>
      </c>
      <c r="E360" s="39" t="str">
        <f>+_xlfn.XLOOKUP(A360,Hoja3!$C$3:$C$1124,Hoja3!$D$3:$D$1124)</f>
        <v>EL ENCANTO</v>
      </c>
      <c r="F360" s="42">
        <v>45658</v>
      </c>
    </row>
    <row r="361" spans="1:6" x14ac:dyDescent="0.25">
      <c r="A361" s="37" t="s">
        <v>51</v>
      </c>
      <c r="B361" s="38" t="str">
        <f t="shared" si="10"/>
        <v>05</v>
      </c>
      <c r="C361" s="39" t="str">
        <f>+_xlfn.XLOOKUP(A361,Hoja3!$C$3:$C$1124,Hoja3!$B$3:$B$1124)</f>
        <v>ANTIOQUIA</v>
      </c>
      <c r="D361" s="40" t="str">
        <f t="shared" si="11"/>
        <v>264</v>
      </c>
      <c r="E361" s="39" t="str">
        <f>+_xlfn.XLOOKUP(A361,Hoja3!$C$3:$C$1124,Hoja3!$D$3:$D$1124)</f>
        <v>ENTRERRÍOS</v>
      </c>
      <c r="F361" s="41">
        <v>44013</v>
      </c>
    </row>
    <row r="362" spans="1:6" x14ac:dyDescent="0.25">
      <c r="A362" s="37" t="s">
        <v>870</v>
      </c>
      <c r="B362" s="38" t="str">
        <f t="shared" si="10"/>
        <v>68</v>
      </c>
      <c r="C362" s="39" t="str">
        <f>+_xlfn.XLOOKUP(A362,Hoja3!$C$3:$C$1124,Hoja3!$B$3:$B$1124)</f>
        <v>SANTANDER</v>
      </c>
      <c r="D362" s="40" t="str">
        <f t="shared" si="11"/>
        <v>264</v>
      </c>
      <c r="E362" s="39" t="str">
        <f>+_xlfn.XLOOKUP(A362,Hoja3!$C$3:$C$1124,Hoja3!$D$3:$D$1124)</f>
        <v>ENCINO</v>
      </c>
      <c r="F362" s="41">
        <v>44057</v>
      </c>
    </row>
    <row r="363" spans="1:6" x14ac:dyDescent="0.25">
      <c r="A363" s="37" t="s">
        <v>928</v>
      </c>
      <c r="B363" s="38" t="str">
        <f t="shared" si="10"/>
        <v>70</v>
      </c>
      <c r="C363" s="39" t="str">
        <f>+_xlfn.XLOOKUP(A363,Hoja3!$C$3:$C$1124,Hoja3!$B$3:$B$1124)</f>
        <v>SUCRE</v>
      </c>
      <c r="D363" s="40" t="str">
        <f t="shared" si="11"/>
        <v>265</v>
      </c>
      <c r="E363" s="39" t="str">
        <f>+_xlfn.XLOOKUP(A363,Hoja3!$C$3:$C$1124,Hoja3!$D$3:$D$1124)</f>
        <v>GUARANDA</v>
      </c>
      <c r="F363" s="41">
        <v>43988</v>
      </c>
    </row>
    <row r="364" spans="1:6" x14ac:dyDescent="0.25">
      <c r="A364" s="37" t="s">
        <v>52</v>
      </c>
      <c r="B364" s="38" t="str">
        <f t="shared" si="10"/>
        <v>05</v>
      </c>
      <c r="C364" s="39" t="str">
        <f>+_xlfn.XLOOKUP(A364,Hoja3!$C$3:$C$1124,Hoja3!$B$3:$B$1124)</f>
        <v>ANTIOQUIA</v>
      </c>
      <c r="D364" s="40" t="str">
        <f t="shared" si="11"/>
        <v>266</v>
      </c>
      <c r="E364" s="39" t="str">
        <f>+_xlfn.XLOOKUP(A364,Hoja3!$C$3:$C$1124,Hoja3!$D$3:$D$1124)</f>
        <v>ENVIGADO</v>
      </c>
      <c r="F364" s="41">
        <v>43901</v>
      </c>
    </row>
    <row r="365" spans="1:6" x14ac:dyDescent="0.25">
      <c r="A365" s="37" t="s">
        <v>871</v>
      </c>
      <c r="B365" s="38" t="str">
        <f t="shared" si="10"/>
        <v>68</v>
      </c>
      <c r="C365" s="39" t="str">
        <f>+_xlfn.XLOOKUP(A365,Hoja3!$C$3:$C$1124,Hoja3!$B$3:$B$1124)</f>
        <v>SANTANDER</v>
      </c>
      <c r="D365" s="40" t="str">
        <f t="shared" si="11"/>
        <v>266</v>
      </c>
      <c r="E365" s="39" t="str">
        <f>+_xlfn.XLOOKUP(A365,Hoja3!$C$3:$C$1124,Hoja3!$D$3:$D$1124)</f>
        <v>ENCISO</v>
      </c>
      <c r="F365" s="41">
        <v>44073</v>
      </c>
    </row>
    <row r="366" spans="1:6" x14ac:dyDescent="0.25">
      <c r="A366" s="37" t="s">
        <v>173</v>
      </c>
      <c r="B366" s="38" t="str">
        <f t="shared" si="10"/>
        <v>13</v>
      </c>
      <c r="C366" s="39" t="str">
        <f>+_xlfn.XLOOKUP(A366,Hoja3!$C$3:$C$1124,Hoja3!$B$3:$B$1124)</f>
        <v>BOLÍVAR</v>
      </c>
      <c r="D366" s="40" t="str">
        <f t="shared" si="11"/>
        <v>268</v>
      </c>
      <c r="E366" s="39" t="str">
        <f>+_xlfn.XLOOKUP(A366,Hoja3!$C$3:$C$1124,Hoja3!$D$3:$D$1124)</f>
        <v>EL PEÑÓN</v>
      </c>
      <c r="F366" s="41">
        <v>44025</v>
      </c>
    </row>
    <row r="367" spans="1:6" x14ac:dyDescent="0.25">
      <c r="A367" s="37" t="s">
        <v>656</v>
      </c>
      <c r="B367" s="38" t="str">
        <f t="shared" si="10"/>
        <v>47</v>
      </c>
      <c r="C367" s="39" t="str">
        <f>+_xlfn.XLOOKUP(A367,Hoja3!$C$3:$C$1124,Hoja3!$B$3:$B$1124)</f>
        <v>MAGDALENA</v>
      </c>
      <c r="D367" s="40" t="str">
        <f t="shared" si="11"/>
        <v>268</v>
      </c>
      <c r="E367" s="39" t="str">
        <f>+_xlfn.XLOOKUP(A367,Hoja3!$C$3:$C$1124,Hoja3!$D$3:$D$1124)</f>
        <v>EL RETÉN</v>
      </c>
      <c r="F367" s="41">
        <v>43956</v>
      </c>
    </row>
    <row r="368" spans="1:6" x14ac:dyDescent="0.25">
      <c r="A368" s="37" t="s">
        <v>960</v>
      </c>
      <c r="B368" s="38" t="str">
        <f t="shared" si="10"/>
        <v>73</v>
      </c>
      <c r="C368" s="39" t="str">
        <f>+_xlfn.XLOOKUP(A368,Hoja3!$C$3:$C$1124,Hoja3!$B$3:$B$1124)</f>
        <v>TOLIMA</v>
      </c>
      <c r="D368" s="40" t="str">
        <f t="shared" si="11"/>
        <v>268</v>
      </c>
      <c r="E368" s="39" t="str">
        <f>+_xlfn.XLOOKUP(A368,Hoja3!$C$3:$C$1124,Hoja3!$D$3:$D$1124)</f>
        <v>ESPINAL</v>
      </c>
      <c r="F368" s="41">
        <v>43917</v>
      </c>
    </row>
    <row r="369" spans="1:6" x14ac:dyDescent="0.25">
      <c r="A369" s="37" t="s">
        <v>506</v>
      </c>
      <c r="B369" s="38" t="str">
        <f t="shared" si="10"/>
        <v>25</v>
      </c>
      <c r="C369" s="39" t="str">
        <f>+_xlfn.XLOOKUP(A369,Hoja3!$C$3:$C$1124,Hoja3!$B$3:$B$1124)</f>
        <v>CUNDINAMARCA</v>
      </c>
      <c r="D369" s="40" t="str">
        <f t="shared" si="11"/>
        <v>269</v>
      </c>
      <c r="E369" s="39" t="str">
        <f>+_xlfn.XLOOKUP(A369,Hoja3!$C$3:$C$1124,Hoja3!$D$3:$D$1124)</f>
        <v>FACATATIVÁ</v>
      </c>
      <c r="F369" s="41">
        <v>43910</v>
      </c>
    </row>
    <row r="370" spans="1:6" x14ac:dyDescent="0.25">
      <c r="A370" s="37" t="s">
        <v>684</v>
      </c>
      <c r="B370" s="38" t="str">
        <f t="shared" si="10"/>
        <v>50</v>
      </c>
      <c r="C370" s="39" t="str">
        <f>+_xlfn.XLOOKUP(A370,Hoja3!$C$3:$C$1124,Hoja3!$B$3:$B$1124)</f>
        <v>META</v>
      </c>
      <c r="D370" s="40" t="str">
        <f t="shared" si="11"/>
        <v>270</v>
      </c>
      <c r="E370" s="39" t="str">
        <f>+_xlfn.XLOOKUP(A370,Hoja3!$C$3:$C$1124,Hoja3!$D$3:$D$1124)</f>
        <v>EL DORADO</v>
      </c>
      <c r="F370" s="41">
        <v>44068</v>
      </c>
    </row>
    <row r="371" spans="1:6" x14ac:dyDescent="0.25">
      <c r="A371" s="38" t="s">
        <v>2087</v>
      </c>
      <c r="B371" s="38" t="str">
        <f t="shared" si="10"/>
        <v>73</v>
      </c>
      <c r="C371" s="39" t="str">
        <f>+_xlfn.XLOOKUP(A371,Hoja3!$C$3:$C$1124,Hoja3!$B$3:$B$1124)</f>
        <v>TOLIMA</v>
      </c>
      <c r="D371" s="40" t="str">
        <f t="shared" si="11"/>
        <v>270</v>
      </c>
      <c r="E371" s="39" t="str">
        <f>+_xlfn.XLOOKUP(A371,Hoja3!$C$3:$C$1124,Hoja3!$D$3:$D$1124)</f>
        <v>FALAN</v>
      </c>
      <c r="F371" s="42">
        <v>45658</v>
      </c>
    </row>
    <row r="372" spans="1:6" x14ac:dyDescent="0.25">
      <c r="A372" s="37" t="s">
        <v>872</v>
      </c>
      <c r="B372" s="38" t="str">
        <f t="shared" si="10"/>
        <v>68</v>
      </c>
      <c r="C372" s="39" t="str">
        <f>+_xlfn.XLOOKUP(A372,Hoja3!$C$3:$C$1124,Hoja3!$B$3:$B$1124)</f>
        <v>SANTANDER</v>
      </c>
      <c r="D372" s="40" t="str">
        <f t="shared" si="11"/>
        <v>271</v>
      </c>
      <c r="E372" s="39" t="str">
        <f>+_xlfn.XLOOKUP(A372,Hoja3!$C$3:$C$1124,Hoja3!$D$3:$D$1124)</f>
        <v>FLORIÁN</v>
      </c>
      <c r="F372" s="41">
        <v>44051</v>
      </c>
    </row>
    <row r="373" spans="1:6" x14ac:dyDescent="0.25">
      <c r="A373" s="37" t="s">
        <v>232</v>
      </c>
      <c r="B373" s="38" t="str">
        <f t="shared" si="10"/>
        <v>15</v>
      </c>
      <c r="C373" s="39" t="str">
        <f>+_xlfn.XLOOKUP(A373,Hoja3!$C$3:$C$1124,Hoja3!$B$3:$B$1124)</f>
        <v>BOYACÁ</v>
      </c>
      <c r="D373" s="40" t="str">
        <f t="shared" si="11"/>
        <v>272</v>
      </c>
      <c r="E373" s="39" t="str">
        <f>+_xlfn.XLOOKUP(A373,Hoja3!$C$3:$C$1124,Hoja3!$D$3:$D$1124)</f>
        <v>FIRAVITOBA</v>
      </c>
      <c r="F373" s="41">
        <v>43978</v>
      </c>
    </row>
    <row r="374" spans="1:6" x14ac:dyDescent="0.25">
      <c r="A374" s="37" t="s">
        <v>312</v>
      </c>
      <c r="B374" s="38" t="str">
        <f t="shared" si="10"/>
        <v>17</v>
      </c>
      <c r="C374" s="39" t="str">
        <f>+_xlfn.XLOOKUP(A374,Hoja3!$C$3:$C$1124,Hoja3!$B$3:$B$1124)</f>
        <v>CALDAS</v>
      </c>
      <c r="D374" s="40" t="str">
        <f t="shared" si="11"/>
        <v>272</v>
      </c>
      <c r="E374" s="39" t="str">
        <f>+_xlfn.XLOOKUP(A374,Hoja3!$C$3:$C$1124,Hoja3!$D$3:$D$1124)</f>
        <v>FILADELFIA</v>
      </c>
      <c r="F374" s="41">
        <v>44064</v>
      </c>
    </row>
    <row r="375" spans="1:6" x14ac:dyDescent="0.25">
      <c r="A375" s="37" t="s">
        <v>821</v>
      </c>
      <c r="B375" s="38" t="str">
        <f t="shared" si="10"/>
        <v>63</v>
      </c>
      <c r="C375" s="39" t="str">
        <f>+_xlfn.XLOOKUP(A375,Hoja3!$C$3:$C$1124,Hoja3!$B$3:$B$1124)</f>
        <v>QUINDÍO</v>
      </c>
      <c r="D375" s="40" t="str">
        <f t="shared" si="11"/>
        <v>272</v>
      </c>
      <c r="E375" s="39" t="str">
        <f>+_xlfn.XLOOKUP(A375,Hoja3!$C$3:$C$1124,Hoja3!$D$3:$D$1124)</f>
        <v>FILANDIA</v>
      </c>
      <c r="F375" s="41">
        <v>43906</v>
      </c>
    </row>
    <row r="376" spans="1:6" x14ac:dyDescent="0.25">
      <c r="A376" s="37" t="s">
        <v>961</v>
      </c>
      <c r="B376" s="38" t="str">
        <f t="shared" si="10"/>
        <v>73</v>
      </c>
      <c r="C376" s="39" t="str">
        <f>+_xlfn.XLOOKUP(A376,Hoja3!$C$3:$C$1124,Hoja3!$B$3:$B$1124)</f>
        <v>TOLIMA</v>
      </c>
      <c r="D376" s="40" t="str">
        <f t="shared" si="11"/>
        <v>275</v>
      </c>
      <c r="E376" s="39" t="str">
        <f>+_xlfn.XLOOKUP(A376,Hoja3!$C$3:$C$1124,Hoja3!$D$3:$D$1124)</f>
        <v>FLANDES</v>
      </c>
      <c r="F376" s="41">
        <v>43958</v>
      </c>
    </row>
    <row r="377" spans="1:6" x14ac:dyDescent="0.25">
      <c r="A377" s="37" t="s">
        <v>1005</v>
      </c>
      <c r="B377" s="38" t="str">
        <f t="shared" si="10"/>
        <v>76</v>
      </c>
      <c r="C377" s="39" t="str">
        <f>+_xlfn.XLOOKUP(A377,Hoja3!$C$3:$C$1124,Hoja3!$B$3:$B$1124)</f>
        <v>VALLE DEL CAUCA</v>
      </c>
      <c r="D377" s="40" t="str">
        <f t="shared" si="11"/>
        <v>275</v>
      </c>
      <c r="E377" s="39" t="str">
        <f>+_xlfn.XLOOKUP(A377,Hoja3!$C$3:$C$1124,Hoja3!$D$3:$D$1124)</f>
        <v>FLORIDA</v>
      </c>
      <c r="F377" s="41">
        <v>43920</v>
      </c>
    </row>
    <row r="378" spans="1:6" x14ac:dyDescent="0.25">
      <c r="A378" s="37" t="s">
        <v>873</v>
      </c>
      <c r="B378" s="38" t="str">
        <f t="shared" si="10"/>
        <v>68</v>
      </c>
      <c r="C378" s="39" t="str">
        <f>+_xlfn.XLOOKUP(A378,Hoja3!$C$3:$C$1124,Hoja3!$B$3:$B$1124)</f>
        <v>SANTANDER</v>
      </c>
      <c r="D378" s="40" t="str">
        <f t="shared" si="11"/>
        <v>276</v>
      </c>
      <c r="E378" s="39" t="str">
        <f>+_xlfn.XLOOKUP(A378,Hoja3!$C$3:$C$1124,Hoja3!$D$3:$D$1124)</f>
        <v>FLORIDABLANCA</v>
      </c>
      <c r="F378" s="41">
        <v>43902</v>
      </c>
    </row>
    <row r="379" spans="1:6" x14ac:dyDescent="0.25">
      <c r="A379" s="38" t="s">
        <v>2056</v>
      </c>
      <c r="B379" s="38" t="str">
        <f t="shared" si="10"/>
        <v>15</v>
      </c>
      <c r="C379" s="39" t="str">
        <f>+_xlfn.XLOOKUP(A379,Hoja3!$C$3:$C$1124,Hoja3!$B$3:$B$1124)</f>
        <v>BOYACÁ</v>
      </c>
      <c r="D379" s="40" t="str">
        <f t="shared" si="11"/>
        <v>276</v>
      </c>
      <c r="E379" s="39" t="str">
        <f>+_xlfn.XLOOKUP(A379,Hoja3!$C$3:$C$1124,Hoja3!$D$3:$D$1124)</f>
        <v>FLORESTA</v>
      </c>
      <c r="F379" s="42">
        <v>45658</v>
      </c>
    </row>
    <row r="380" spans="1:6" x14ac:dyDescent="0.25">
      <c r="A380" s="37" t="s">
        <v>357</v>
      </c>
      <c r="B380" s="38" t="str">
        <f t="shared" si="10"/>
        <v>85</v>
      </c>
      <c r="C380" s="39" t="str">
        <f>+_xlfn.XLOOKUP(A380,Hoja3!$C$3:$C$1124,Hoja3!$B$3:$B$1124)</f>
        <v>CASANARE</v>
      </c>
      <c r="D380" s="40" t="str">
        <f t="shared" si="11"/>
        <v>279</v>
      </c>
      <c r="E380" s="39" t="str">
        <f>+_xlfn.XLOOKUP(A380,Hoja3!$C$3:$C$1124,Hoja3!$D$3:$D$1124)</f>
        <v>RECETOR</v>
      </c>
      <c r="F380" s="41">
        <v>44063</v>
      </c>
    </row>
    <row r="381" spans="1:6" x14ac:dyDescent="0.25">
      <c r="A381" s="37" t="s">
        <v>507</v>
      </c>
      <c r="B381" s="38" t="str">
        <f t="shared" si="10"/>
        <v>25</v>
      </c>
      <c r="C381" s="39" t="str">
        <f>+_xlfn.XLOOKUP(A381,Hoja3!$C$3:$C$1124,Hoja3!$B$3:$B$1124)</f>
        <v>CUNDINAMARCA</v>
      </c>
      <c r="D381" s="40" t="str">
        <f t="shared" si="11"/>
        <v>279</v>
      </c>
      <c r="E381" s="39" t="str">
        <f>+_xlfn.XLOOKUP(A381,Hoja3!$C$3:$C$1124,Hoja3!$D$3:$D$1124)</f>
        <v>FÓMEQUE</v>
      </c>
      <c r="F381" s="41">
        <v>43950</v>
      </c>
    </row>
    <row r="382" spans="1:6" x14ac:dyDescent="0.25">
      <c r="A382" s="37" t="s">
        <v>638</v>
      </c>
      <c r="B382" s="38" t="str">
        <f t="shared" si="10"/>
        <v>44</v>
      </c>
      <c r="C382" s="39" t="str">
        <f>+_xlfn.XLOOKUP(A382,Hoja3!$C$3:$C$1124,Hoja3!$B$3:$B$1124)</f>
        <v>LA GUAJIRA</v>
      </c>
      <c r="D382" s="40" t="str">
        <f t="shared" si="11"/>
        <v>279</v>
      </c>
      <c r="E382" s="39" t="str">
        <f>+_xlfn.XLOOKUP(A382,Hoja3!$C$3:$C$1124,Hoja3!$D$3:$D$1124)</f>
        <v>FONSECA</v>
      </c>
      <c r="F382" s="41">
        <v>43949</v>
      </c>
    </row>
    <row r="383" spans="1:6" x14ac:dyDescent="0.25">
      <c r="A383" s="37" t="s">
        <v>508</v>
      </c>
      <c r="B383" s="38" t="str">
        <f t="shared" si="10"/>
        <v>25</v>
      </c>
      <c r="C383" s="39" t="str">
        <f>+_xlfn.XLOOKUP(A383,Hoja3!$C$3:$C$1124,Hoja3!$B$3:$B$1124)</f>
        <v>CUNDINAMARCA</v>
      </c>
      <c r="D383" s="40" t="str">
        <f t="shared" si="11"/>
        <v>281</v>
      </c>
      <c r="E383" s="39" t="str">
        <f>+_xlfn.XLOOKUP(A383,Hoja3!$C$3:$C$1124,Hoja3!$D$3:$D$1124)</f>
        <v>FOSCA</v>
      </c>
      <c r="F383" s="41">
        <v>44022</v>
      </c>
    </row>
    <row r="384" spans="1:6" x14ac:dyDescent="0.25">
      <c r="A384" s="37" t="s">
        <v>53</v>
      </c>
      <c r="B384" s="38" t="str">
        <f t="shared" si="10"/>
        <v>05</v>
      </c>
      <c r="C384" s="39" t="str">
        <f>+_xlfn.XLOOKUP(A384,Hoja3!$C$3:$C$1124,Hoja3!$B$3:$B$1124)</f>
        <v>ANTIOQUIA</v>
      </c>
      <c r="D384" s="40" t="str">
        <f t="shared" si="11"/>
        <v>282</v>
      </c>
      <c r="E384" s="39" t="str">
        <f>+_xlfn.XLOOKUP(A384,Hoja3!$C$3:$C$1124,Hoja3!$D$3:$D$1124)</f>
        <v>FREDONIA</v>
      </c>
      <c r="F384" s="41">
        <v>44019</v>
      </c>
    </row>
    <row r="385" spans="1:6" x14ac:dyDescent="0.25">
      <c r="A385" s="37" t="s">
        <v>962</v>
      </c>
      <c r="B385" s="38" t="str">
        <f t="shared" si="10"/>
        <v>73</v>
      </c>
      <c r="C385" s="39" t="str">
        <f>+_xlfn.XLOOKUP(A385,Hoja3!$C$3:$C$1124,Hoja3!$B$3:$B$1124)</f>
        <v>TOLIMA</v>
      </c>
      <c r="D385" s="40" t="str">
        <f t="shared" si="11"/>
        <v>283</v>
      </c>
      <c r="E385" s="39" t="str">
        <f>+_xlfn.XLOOKUP(A385,Hoja3!$C$3:$C$1124,Hoja3!$D$3:$D$1124)</f>
        <v>FRESNO</v>
      </c>
      <c r="F385" s="41">
        <v>43989</v>
      </c>
    </row>
    <row r="386" spans="1:6" x14ac:dyDescent="0.25">
      <c r="A386" s="37" t="s">
        <v>54</v>
      </c>
      <c r="B386" s="38" t="str">
        <f t="shared" ref="B386:B449" si="12">MID(A386,1,2)</f>
        <v>05</v>
      </c>
      <c r="C386" s="39" t="str">
        <f>+_xlfn.XLOOKUP(A386,Hoja3!$C$3:$C$1124,Hoja3!$B$3:$B$1124)</f>
        <v>ANTIOQUIA</v>
      </c>
      <c r="D386" s="40" t="str">
        <f t="shared" ref="D386:D449" si="13">MID(A386,3,3)</f>
        <v>284</v>
      </c>
      <c r="E386" s="39" t="str">
        <f>+_xlfn.XLOOKUP(A386,Hoja3!$C$3:$C$1124,Hoja3!$D$3:$D$1124)</f>
        <v>FRONTINO</v>
      </c>
      <c r="F386" s="41">
        <v>43905</v>
      </c>
    </row>
    <row r="387" spans="1:6" x14ac:dyDescent="0.25">
      <c r="A387" s="37" t="s">
        <v>509</v>
      </c>
      <c r="B387" s="38" t="str">
        <f t="shared" si="12"/>
        <v>25</v>
      </c>
      <c r="C387" s="39" t="str">
        <f>+_xlfn.XLOOKUP(A387,Hoja3!$C$3:$C$1124,Hoja3!$B$3:$B$1124)</f>
        <v>CUNDINAMARCA</v>
      </c>
      <c r="D387" s="40" t="str">
        <f t="shared" si="13"/>
        <v>286</v>
      </c>
      <c r="E387" s="39" t="str">
        <f>+_xlfn.XLOOKUP(A387,Hoja3!$C$3:$C$1124,Hoja3!$D$3:$D$1124)</f>
        <v>FUNZA</v>
      </c>
      <c r="F387" s="41">
        <v>43910</v>
      </c>
    </row>
    <row r="388" spans="1:6" x14ac:dyDescent="0.25">
      <c r="A388" s="37" t="s">
        <v>685</v>
      </c>
      <c r="B388" s="38" t="str">
        <f t="shared" si="12"/>
        <v>50</v>
      </c>
      <c r="C388" s="39" t="str">
        <f>+_xlfn.XLOOKUP(A388,Hoja3!$C$3:$C$1124,Hoja3!$B$3:$B$1124)</f>
        <v>META</v>
      </c>
      <c r="D388" s="40" t="str">
        <f t="shared" si="13"/>
        <v>287</v>
      </c>
      <c r="E388" s="39" t="str">
        <f>+_xlfn.XLOOKUP(A388,Hoja3!$C$3:$C$1124,Hoja3!$D$3:$D$1124)</f>
        <v>FUENTE DE ORO</v>
      </c>
      <c r="F388" s="41">
        <v>44030</v>
      </c>
    </row>
    <row r="389" spans="1:6" x14ac:dyDescent="0.25">
      <c r="A389" s="37" t="s">
        <v>722</v>
      </c>
      <c r="B389" s="38" t="str">
        <f t="shared" si="12"/>
        <v>52</v>
      </c>
      <c r="C389" s="39" t="str">
        <f>+_xlfn.XLOOKUP(A389,Hoja3!$C$3:$C$1124,Hoja3!$B$3:$B$1124)</f>
        <v>NARIÑO</v>
      </c>
      <c r="D389" s="40" t="str">
        <f t="shared" si="13"/>
        <v>287</v>
      </c>
      <c r="E389" s="39" t="str">
        <f>+_xlfn.XLOOKUP(A389,Hoja3!$C$3:$C$1124,Hoja3!$D$3:$D$1124)</f>
        <v>FUNES</v>
      </c>
      <c r="F389" s="41">
        <v>44007</v>
      </c>
    </row>
    <row r="390" spans="1:6" x14ac:dyDescent="0.25">
      <c r="A390" s="37" t="s">
        <v>510</v>
      </c>
      <c r="B390" s="38" t="str">
        <f t="shared" si="12"/>
        <v>25</v>
      </c>
      <c r="C390" s="39" t="str">
        <f>+_xlfn.XLOOKUP(A390,Hoja3!$C$3:$C$1124,Hoja3!$B$3:$B$1124)</f>
        <v>CUNDINAMARCA</v>
      </c>
      <c r="D390" s="40" t="str">
        <f t="shared" si="13"/>
        <v>288</v>
      </c>
      <c r="E390" s="39" t="str">
        <f>+_xlfn.XLOOKUP(A390,Hoja3!$C$3:$C$1124,Hoja3!$D$3:$D$1124)</f>
        <v>FÚQUENE</v>
      </c>
      <c r="F390" s="41">
        <v>44010</v>
      </c>
    </row>
    <row r="391" spans="1:6" x14ac:dyDescent="0.25">
      <c r="A391" s="37" t="s">
        <v>657</v>
      </c>
      <c r="B391" s="38" t="str">
        <f t="shared" si="12"/>
        <v>47</v>
      </c>
      <c r="C391" s="39" t="str">
        <f>+_xlfn.XLOOKUP(A391,Hoja3!$C$3:$C$1124,Hoja3!$B$3:$B$1124)</f>
        <v>MAGDALENA</v>
      </c>
      <c r="D391" s="40" t="str">
        <f t="shared" si="13"/>
        <v>288</v>
      </c>
      <c r="E391" s="39" t="str">
        <f>+_xlfn.XLOOKUP(A391,Hoja3!$C$3:$C$1124,Hoja3!$D$3:$D$1124)</f>
        <v>FUNDACIÓN</v>
      </c>
      <c r="F391" s="41">
        <v>43951</v>
      </c>
    </row>
    <row r="392" spans="1:6" x14ac:dyDescent="0.25">
      <c r="A392" s="37" t="s">
        <v>2016</v>
      </c>
      <c r="B392" s="38" t="str">
        <f t="shared" si="12"/>
        <v>19</v>
      </c>
      <c r="C392" s="39" t="str">
        <f>+_xlfn.XLOOKUP(A392,Hoja3!$C$3:$C$1124,Hoja3!$B$3:$B$1124)</f>
        <v>CAUCA</v>
      </c>
      <c r="D392" s="40" t="str">
        <f t="shared" si="13"/>
        <v>290</v>
      </c>
      <c r="E392" s="39" t="str">
        <f>+_xlfn.XLOOKUP(A392,Hoja3!$C$3:$C$1124,Hoja3!$D$3:$D$1124)</f>
        <v>FLORENCIA</v>
      </c>
      <c r="F392" s="41">
        <v>44031</v>
      </c>
    </row>
    <row r="393" spans="1:6" x14ac:dyDescent="0.25">
      <c r="A393" s="37" t="s">
        <v>511</v>
      </c>
      <c r="B393" s="38" t="str">
        <f t="shared" si="12"/>
        <v>25</v>
      </c>
      <c r="C393" s="39" t="str">
        <f>+_xlfn.XLOOKUP(A393,Hoja3!$C$3:$C$1124,Hoja3!$B$3:$B$1124)</f>
        <v>CUNDINAMARCA</v>
      </c>
      <c r="D393" s="40" t="str">
        <f t="shared" si="13"/>
        <v>290</v>
      </c>
      <c r="E393" s="39" t="str">
        <f>+_xlfn.XLOOKUP(A393,Hoja3!$C$3:$C$1124,Hoja3!$D$3:$D$1124)</f>
        <v>FUSAGASUGÁ</v>
      </c>
      <c r="F393" s="41">
        <v>43907</v>
      </c>
    </row>
    <row r="394" spans="1:6" x14ac:dyDescent="0.25">
      <c r="A394" s="37" t="s">
        <v>233</v>
      </c>
      <c r="B394" s="38" t="str">
        <f t="shared" si="12"/>
        <v>15</v>
      </c>
      <c r="C394" s="39" t="str">
        <f>+_xlfn.XLOOKUP(A394,Hoja3!$C$3:$C$1124,Hoja3!$B$3:$B$1124)</f>
        <v>BOYACÁ</v>
      </c>
      <c r="D394" s="40" t="str">
        <f t="shared" si="13"/>
        <v>293</v>
      </c>
      <c r="E394" s="39" t="str">
        <f>+_xlfn.XLOOKUP(A394,Hoja3!$C$3:$C$1124,Hoja3!$D$3:$D$1124)</f>
        <v>GACHANTIVÁ</v>
      </c>
      <c r="F394" s="41">
        <v>44054</v>
      </c>
    </row>
    <row r="395" spans="1:6" x14ac:dyDescent="0.25">
      <c r="A395" s="37" t="s">
        <v>512</v>
      </c>
      <c r="B395" s="38" t="str">
        <f t="shared" si="12"/>
        <v>25</v>
      </c>
      <c r="C395" s="39" t="str">
        <f>+_xlfn.XLOOKUP(A395,Hoja3!$C$3:$C$1124,Hoja3!$B$3:$B$1124)</f>
        <v>CUNDINAMARCA</v>
      </c>
      <c r="D395" s="40" t="str">
        <f t="shared" si="13"/>
        <v>293</v>
      </c>
      <c r="E395" s="39" t="str">
        <f>+_xlfn.XLOOKUP(A395,Hoja3!$C$3:$C$1124,Hoja3!$D$3:$D$1124)</f>
        <v>GACHALÁ</v>
      </c>
      <c r="F395" s="41">
        <v>44015</v>
      </c>
    </row>
    <row r="396" spans="1:6" x14ac:dyDescent="0.25">
      <c r="A396" s="37" t="s">
        <v>412</v>
      </c>
      <c r="B396" s="38" t="str">
        <f t="shared" si="12"/>
        <v>20</v>
      </c>
      <c r="C396" s="39" t="str">
        <f>+_xlfn.XLOOKUP(A396,Hoja3!$C$3:$C$1124,Hoja3!$B$3:$B$1124)</f>
        <v>CESAR</v>
      </c>
      <c r="D396" s="40" t="str">
        <f t="shared" si="13"/>
        <v>295</v>
      </c>
      <c r="E396" s="39" t="str">
        <f>+_xlfn.XLOOKUP(A396,Hoja3!$C$3:$C$1124,Hoja3!$D$3:$D$1124)</f>
        <v>GAMARRA</v>
      </c>
      <c r="F396" s="41">
        <v>43987</v>
      </c>
    </row>
    <row r="397" spans="1:6" x14ac:dyDescent="0.25">
      <c r="A397" s="37" t="s">
        <v>513</v>
      </c>
      <c r="B397" s="38" t="str">
        <f t="shared" si="12"/>
        <v>25</v>
      </c>
      <c r="C397" s="39" t="str">
        <f>+_xlfn.XLOOKUP(A397,Hoja3!$C$3:$C$1124,Hoja3!$B$3:$B$1124)</f>
        <v>CUNDINAMARCA</v>
      </c>
      <c r="D397" s="40" t="str">
        <f t="shared" si="13"/>
        <v>295</v>
      </c>
      <c r="E397" s="39" t="str">
        <f>+_xlfn.XLOOKUP(A397,Hoja3!$C$3:$C$1124,Hoja3!$D$3:$D$1124)</f>
        <v>GACHANCIPÁ</v>
      </c>
      <c r="F397" s="41">
        <v>43954</v>
      </c>
    </row>
    <row r="398" spans="1:6" x14ac:dyDescent="0.25">
      <c r="A398" s="37" t="s">
        <v>139</v>
      </c>
      <c r="B398" s="38" t="str">
        <f t="shared" si="12"/>
        <v>08</v>
      </c>
      <c r="C398" s="39" t="str">
        <f>+_xlfn.XLOOKUP(A398,Hoja3!$C$3:$C$1124,Hoja3!$B$3:$B$1124)</f>
        <v>ATLÁNTICO</v>
      </c>
      <c r="D398" s="40" t="str">
        <f t="shared" si="13"/>
        <v>296</v>
      </c>
      <c r="E398" s="39" t="str">
        <f>+_xlfn.XLOOKUP(A398,Hoja3!$C$3:$C$1124,Hoja3!$D$3:$D$1124)</f>
        <v>GALAPA</v>
      </c>
      <c r="F398" s="41">
        <v>43907</v>
      </c>
    </row>
    <row r="399" spans="1:6" x14ac:dyDescent="0.25">
      <c r="A399" s="37" t="s">
        <v>234</v>
      </c>
      <c r="B399" s="38" t="str">
        <f t="shared" si="12"/>
        <v>15</v>
      </c>
      <c r="C399" s="39" t="str">
        <f>+_xlfn.XLOOKUP(A399,Hoja3!$C$3:$C$1124,Hoja3!$B$3:$B$1124)</f>
        <v>BOYACÁ</v>
      </c>
      <c r="D399" s="40" t="str">
        <f t="shared" si="13"/>
        <v>296</v>
      </c>
      <c r="E399" s="39" t="str">
        <f>+_xlfn.XLOOKUP(A399,Hoja3!$C$3:$C$1124,Hoja3!$D$3:$D$1124)</f>
        <v>GÁMEZA</v>
      </c>
      <c r="F399" s="41">
        <v>44043</v>
      </c>
    </row>
    <row r="400" spans="1:6" x14ac:dyDescent="0.25">
      <c r="A400" s="37" t="s">
        <v>874</v>
      </c>
      <c r="B400" s="38" t="str">
        <f t="shared" si="12"/>
        <v>68</v>
      </c>
      <c r="C400" s="39" t="str">
        <f>+_xlfn.XLOOKUP(A400,Hoja3!$C$3:$C$1124,Hoja3!$B$3:$B$1124)</f>
        <v>SANTANDER</v>
      </c>
      <c r="D400" s="40" t="str">
        <f t="shared" si="13"/>
        <v>296</v>
      </c>
      <c r="E400" s="39" t="str">
        <f>+_xlfn.XLOOKUP(A400,Hoja3!$C$3:$C$1124,Hoja3!$D$3:$D$1124)</f>
        <v>GALÁN</v>
      </c>
      <c r="F400" s="41">
        <v>44011</v>
      </c>
    </row>
    <row r="401" spans="1:6" x14ac:dyDescent="0.25">
      <c r="A401" s="37" t="s">
        <v>514</v>
      </c>
      <c r="B401" s="38" t="str">
        <f t="shared" si="12"/>
        <v>25</v>
      </c>
      <c r="C401" s="39" t="str">
        <f>+_xlfn.XLOOKUP(A401,Hoja3!$C$3:$C$1124,Hoja3!$B$3:$B$1124)</f>
        <v>CUNDINAMARCA</v>
      </c>
      <c r="D401" s="40" t="str">
        <f t="shared" si="13"/>
        <v>297</v>
      </c>
      <c r="E401" s="39" t="str">
        <f>+_xlfn.XLOOKUP(A401,Hoja3!$C$3:$C$1124,Hoja3!$D$3:$D$1124)</f>
        <v>GACHETÁ</v>
      </c>
      <c r="F401" s="41">
        <v>44013</v>
      </c>
    </row>
    <row r="402" spans="1:6" x14ac:dyDescent="0.25">
      <c r="A402" s="37" t="s">
        <v>605</v>
      </c>
      <c r="B402" s="38" t="str">
        <f t="shared" si="12"/>
        <v>41</v>
      </c>
      <c r="C402" s="39" t="str">
        <f>+_xlfn.XLOOKUP(A402,Hoja3!$C$3:$C$1124,Hoja3!$B$3:$B$1124)</f>
        <v>HUILA</v>
      </c>
      <c r="D402" s="40" t="str">
        <f t="shared" si="13"/>
        <v>298</v>
      </c>
      <c r="E402" s="39" t="str">
        <f>+_xlfn.XLOOKUP(A402,Hoja3!$C$3:$C$1124,Hoja3!$D$3:$D$1124)</f>
        <v>GARZÓN</v>
      </c>
      <c r="F402" s="41">
        <v>43909</v>
      </c>
    </row>
    <row r="403" spans="1:6" x14ac:dyDescent="0.25">
      <c r="A403" s="37" t="s">
        <v>875</v>
      </c>
      <c r="B403" s="38" t="str">
        <f t="shared" si="12"/>
        <v>68</v>
      </c>
      <c r="C403" s="39" t="str">
        <f>+_xlfn.XLOOKUP(A403,Hoja3!$C$3:$C$1124,Hoja3!$B$3:$B$1124)</f>
        <v>SANTANDER</v>
      </c>
      <c r="D403" s="40" t="str">
        <f t="shared" si="13"/>
        <v>298</v>
      </c>
      <c r="E403" s="39" t="str">
        <f>+_xlfn.XLOOKUP(A403,Hoja3!$C$3:$C$1124,Hoja3!$D$3:$D$1124)</f>
        <v>GÁMBITA</v>
      </c>
      <c r="F403" s="41">
        <v>44069</v>
      </c>
    </row>
    <row r="404" spans="1:6" x14ac:dyDescent="0.25">
      <c r="A404" s="37" t="s">
        <v>235</v>
      </c>
      <c r="B404" s="38" t="str">
        <f t="shared" si="12"/>
        <v>15</v>
      </c>
      <c r="C404" s="39" t="str">
        <f>+_xlfn.XLOOKUP(A404,Hoja3!$C$3:$C$1124,Hoja3!$B$3:$B$1124)</f>
        <v>BOYACÁ</v>
      </c>
      <c r="D404" s="40" t="str">
        <f t="shared" si="13"/>
        <v>299</v>
      </c>
      <c r="E404" s="39" t="str">
        <f>+_xlfn.XLOOKUP(A404,Hoja3!$C$3:$C$1124,Hoja3!$D$3:$D$1124)</f>
        <v>GARAGOA</v>
      </c>
      <c r="F404" s="41">
        <v>43912</v>
      </c>
    </row>
    <row r="405" spans="1:6" x14ac:dyDescent="0.25">
      <c r="A405" s="37" t="s">
        <v>515</v>
      </c>
      <c r="B405" s="38" t="str">
        <f t="shared" si="12"/>
        <v>25</v>
      </c>
      <c r="C405" s="39" t="str">
        <f>+_xlfn.XLOOKUP(A405,Hoja3!$C$3:$C$1124,Hoja3!$B$3:$B$1124)</f>
        <v>CUNDINAMARCA</v>
      </c>
      <c r="D405" s="40" t="str">
        <f t="shared" si="13"/>
        <v>299</v>
      </c>
      <c r="E405" s="39" t="str">
        <f>+_xlfn.XLOOKUP(A405,Hoja3!$C$3:$C$1124,Hoja3!$D$3:$D$1124)</f>
        <v>GAMA</v>
      </c>
      <c r="F405" s="41">
        <v>44039</v>
      </c>
    </row>
    <row r="406" spans="1:6" x14ac:dyDescent="0.25">
      <c r="A406" s="37" t="s">
        <v>131</v>
      </c>
      <c r="B406" s="38" t="str">
        <f t="shared" si="12"/>
        <v>81</v>
      </c>
      <c r="C406" s="39" t="str">
        <f>+_xlfn.XLOOKUP(A406,Hoja3!$C$3:$C$1124,Hoja3!$B$3:$B$1124)</f>
        <v>ARAUCA</v>
      </c>
      <c r="D406" s="40" t="str">
        <f t="shared" si="13"/>
        <v>300</v>
      </c>
      <c r="E406" s="39" t="str">
        <f>+_xlfn.XLOOKUP(A406,Hoja3!$C$3:$C$1124,Hoja3!$D$3:$D$1124)</f>
        <v>FORTUL</v>
      </c>
      <c r="F406" s="41">
        <v>44032</v>
      </c>
    </row>
    <row r="407" spans="1:6" x14ac:dyDescent="0.25">
      <c r="A407" s="37" t="s">
        <v>174</v>
      </c>
      <c r="B407" s="38" t="str">
        <f t="shared" si="12"/>
        <v>13</v>
      </c>
      <c r="C407" s="39" t="str">
        <f>+_xlfn.XLOOKUP(A407,Hoja3!$C$3:$C$1124,Hoja3!$B$3:$B$1124)</f>
        <v>BOLÍVAR</v>
      </c>
      <c r="D407" s="40" t="str">
        <f t="shared" si="13"/>
        <v>300</v>
      </c>
      <c r="E407" s="39" t="str">
        <f>+_xlfn.XLOOKUP(A407,Hoja3!$C$3:$C$1124,Hoja3!$D$3:$D$1124)</f>
        <v>HATILLO DE LOBA</v>
      </c>
      <c r="F407" s="41">
        <v>44006</v>
      </c>
    </row>
    <row r="408" spans="1:6" x14ac:dyDescent="0.25">
      <c r="A408" s="37" t="s">
        <v>373</v>
      </c>
      <c r="B408" s="38" t="str">
        <f t="shared" si="12"/>
        <v>19</v>
      </c>
      <c r="C408" s="39" t="str">
        <f>+_xlfn.XLOOKUP(A408,Hoja3!$C$3:$C$1124,Hoja3!$B$3:$B$1124)</f>
        <v>CAUCA</v>
      </c>
      <c r="D408" s="40" t="str">
        <f t="shared" si="13"/>
        <v>300</v>
      </c>
      <c r="E408" s="39" t="str">
        <f>+_xlfn.XLOOKUP(A408,Hoja3!$C$3:$C$1124,Hoja3!$D$3:$D$1124)</f>
        <v>GUACHENÉ</v>
      </c>
      <c r="F408" s="41">
        <v>43918</v>
      </c>
    </row>
    <row r="409" spans="1:6" x14ac:dyDescent="0.25">
      <c r="A409" s="37" t="s">
        <v>460</v>
      </c>
      <c r="B409" s="38" t="str">
        <f t="shared" si="12"/>
        <v>23</v>
      </c>
      <c r="C409" s="39" t="str">
        <f>+_xlfn.XLOOKUP(A409,Hoja3!$C$3:$C$1124,Hoja3!$B$3:$B$1124)</f>
        <v>CÓRDOBA</v>
      </c>
      <c r="D409" s="40" t="str">
        <f t="shared" si="13"/>
        <v>300</v>
      </c>
      <c r="E409" s="39" t="str">
        <f>+_xlfn.XLOOKUP(A409,Hoja3!$C$3:$C$1124,Hoja3!$D$3:$D$1124)</f>
        <v>COTORRA</v>
      </c>
      <c r="F409" s="41">
        <v>43980</v>
      </c>
    </row>
    <row r="410" spans="1:6" x14ac:dyDescent="0.25">
      <c r="A410" s="38" t="s">
        <v>2069</v>
      </c>
      <c r="B410" s="38" t="str">
        <f t="shared" si="12"/>
        <v>85</v>
      </c>
      <c r="C410" s="39" t="str">
        <f>+_xlfn.XLOOKUP(A410,Hoja3!$C$3:$C$1124,Hoja3!$B$3:$B$1124)</f>
        <v>CASANARE</v>
      </c>
      <c r="D410" s="40" t="str">
        <f t="shared" si="13"/>
        <v>300</v>
      </c>
      <c r="E410" s="39" t="str">
        <f>+_xlfn.XLOOKUP(A410,Hoja3!$C$3:$C$1124,Hoja3!$D$3:$D$1124)</f>
        <v>SABANALARGA</v>
      </c>
      <c r="F410" s="42">
        <v>45658</v>
      </c>
    </row>
    <row r="411" spans="1:6" x14ac:dyDescent="0.25">
      <c r="A411" s="37" t="s">
        <v>822</v>
      </c>
      <c r="B411" s="38" t="str">
        <f t="shared" si="12"/>
        <v>63</v>
      </c>
      <c r="C411" s="39" t="str">
        <f>+_xlfn.XLOOKUP(A411,Hoja3!$C$3:$C$1124,Hoja3!$B$3:$B$1124)</f>
        <v>QUINDÍO</v>
      </c>
      <c r="D411" s="40" t="str">
        <f t="shared" si="13"/>
        <v>302</v>
      </c>
      <c r="E411" s="39" t="str">
        <f>+_xlfn.XLOOKUP(A411,Hoja3!$C$3:$C$1124,Hoja3!$D$3:$D$1124)</f>
        <v>GÉNOVA</v>
      </c>
      <c r="F411" s="41">
        <v>44022</v>
      </c>
    </row>
    <row r="412" spans="1:6" x14ac:dyDescent="0.25">
      <c r="A412" s="37" t="s">
        <v>55</v>
      </c>
      <c r="B412" s="38" t="str">
        <f t="shared" si="12"/>
        <v>05</v>
      </c>
      <c r="C412" s="39" t="str">
        <f>+_xlfn.XLOOKUP(A412,Hoja3!$C$3:$C$1124,Hoja3!$B$3:$B$1124)</f>
        <v>ANTIOQUIA</v>
      </c>
      <c r="D412" s="40" t="str">
        <f t="shared" si="13"/>
        <v>306</v>
      </c>
      <c r="E412" s="39" t="str">
        <f>+_xlfn.XLOOKUP(A412,Hoja3!$C$3:$C$1124,Hoja3!$D$3:$D$1124)</f>
        <v>GIRALDO</v>
      </c>
      <c r="F412" s="41">
        <v>43979</v>
      </c>
    </row>
    <row r="413" spans="1:6" x14ac:dyDescent="0.25">
      <c r="A413" s="37" t="s">
        <v>606</v>
      </c>
      <c r="B413" s="38" t="str">
        <f t="shared" si="12"/>
        <v>41</v>
      </c>
      <c r="C413" s="39" t="str">
        <f>+_xlfn.XLOOKUP(A413,Hoja3!$C$3:$C$1124,Hoja3!$B$3:$B$1124)</f>
        <v>HUILA</v>
      </c>
      <c r="D413" s="40" t="str">
        <f t="shared" si="13"/>
        <v>306</v>
      </c>
      <c r="E413" s="39" t="str">
        <f>+_xlfn.XLOOKUP(A413,Hoja3!$C$3:$C$1124,Hoja3!$D$3:$D$1124)</f>
        <v>GIGANTE</v>
      </c>
      <c r="F413" s="41">
        <v>43920</v>
      </c>
    </row>
    <row r="414" spans="1:6" x14ac:dyDescent="0.25">
      <c r="A414" s="37" t="s">
        <v>1006</v>
      </c>
      <c r="B414" s="38" t="str">
        <f t="shared" si="12"/>
        <v>76</v>
      </c>
      <c r="C414" s="39" t="str">
        <f>+_xlfn.XLOOKUP(A414,Hoja3!$C$3:$C$1124,Hoja3!$B$3:$B$1124)</f>
        <v>VALLE DEL CAUCA</v>
      </c>
      <c r="D414" s="40" t="str">
        <f t="shared" si="13"/>
        <v>306</v>
      </c>
      <c r="E414" s="39" t="str">
        <f>+_xlfn.XLOOKUP(A414,Hoja3!$C$3:$C$1124,Hoja3!$D$3:$D$1124)</f>
        <v>GINEBRA</v>
      </c>
      <c r="F414" s="41">
        <v>43916</v>
      </c>
    </row>
    <row r="415" spans="1:6" x14ac:dyDescent="0.25">
      <c r="A415" s="37" t="s">
        <v>516</v>
      </c>
      <c r="B415" s="38" t="str">
        <f t="shared" si="12"/>
        <v>25</v>
      </c>
      <c r="C415" s="39" t="str">
        <f>+_xlfn.XLOOKUP(A415,Hoja3!$C$3:$C$1124,Hoja3!$B$3:$B$1124)</f>
        <v>CUNDINAMARCA</v>
      </c>
      <c r="D415" s="40" t="str">
        <f t="shared" si="13"/>
        <v>307</v>
      </c>
      <c r="E415" s="39" t="str">
        <f>+_xlfn.XLOOKUP(A415,Hoja3!$C$3:$C$1124,Hoja3!$D$3:$D$1124)</f>
        <v>GIRARDOT</v>
      </c>
      <c r="F415" s="41">
        <v>43953</v>
      </c>
    </row>
    <row r="416" spans="1:6" x14ac:dyDescent="0.25">
      <c r="A416" s="37" t="s">
        <v>876</v>
      </c>
      <c r="B416" s="38" t="str">
        <f t="shared" si="12"/>
        <v>68</v>
      </c>
      <c r="C416" s="39" t="str">
        <f>+_xlfn.XLOOKUP(A416,Hoja3!$C$3:$C$1124,Hoja3!$B$3:$B$1124)</f>
        <v>SANTANDER</v>
      </c>
      <c r="D416" s="40" t="str">
        <f t="shared" si="13"/>
        <v>307</v>
      </c>
      <c r="E416" s="39" t="str">
        <f>+_xlfn.XLOOKUP(A416,Hoja3!$C$3:$C$1124,Hoja3!$D$3:$D$1124)</f>
        <v>GIRÓN</v>
      </c>
      <c r="F416" s="41">
        <v>43946</v>
      </c>
    </row>
    <row r="417" spans="1:6" x14ac:dyDescent="0.25">
      <c r="A417" s="37" t="s">
        <v>56</v>
      </c>
      <c r="B417" s="38" t="str">
        <f t="shared" si="12"/>
        <v>05</v>
      </c>
      <c r="C417" s="39" t="str">
        <f>+_xlfn.XLOOKUP(A417,Hoja3!$C$3:$C$1124,Hoja3!$B$3:$B$1124)</f>
        <v>ANTIOQUIA</v>
      </c>
      <c r="D417" s="40" t="str">
        <f t="shared" si="13"/>
        <v>308</v>
      </c>
      <c r="E417" s="39" t="str">
        <f>+_xlfn.XLOOKUP(A417,Hoja3!$C$3:$C$1124,Hoja3!$D$3:$D$1124)</f>
        <v>GIRARDOTA</v>
      </c>
      <c r="F417" s="41">
        <v>43980</v>
      </c>
    </row>
    <row r="418" spans="1:6" x14ac:dyDescent="0.25">
      <c r="A418" s="37" t="s">
        <v>57</v>
      </c>
      <c r="B418" s="38" t="str">
        <f t="shared" si="12"/>
        <v>05</v>
      </c>
      <c r="C418" s="39" t="str">
        <f>+_xlfn.XLOOKUP(A418,Hoja3!$C$3:$C$1124,Hoja3!$B$3:$B$1124)</f>
        <v>ANTIOQUIA</v>
      </c>
      <c r="D418" s="40" t="str">
        <f t="shared" si="13"/>
        <v>310</v>
      </c>
      <c r="E418" s="39" t="str">
        <f>+_xlfn.XLOOKUP(A418,Hoja3!$C$3:$C$1124,Hoja3!$D$3:$D$1124)</f>
        <v>GÓMEZ PLATA</v>
      </c>
      <c r="F418" s="41">
        <v>44018</v>
      </c>
    </row>
    <row r="419" spans="1:6" x14ac:dyDescent="0.25">
      <c r="A419" s="37" t="s">
        <v>413</v>
      </c>
      <c r="B419" s="38" t="str">
        <f t="shared" si="12"/>
        <v>20</v>
      </c>
      <c r="C419" s="39" t="str">
        <f>+_xlfn.XLOOKUP(A419,Hoja3!$C$3:$C$1124,Hoja3!$B$3:$B$1124)</f>
        <v>CESAR</v>
      </c>
      <c r="D419" s="40" t="str">
        <f t="shared" si="13"/>
        <v>310</v>
      </c>
      <c r="E419" s="39" t="str">
        <f>+_xlfn.XLOOKUP(A419,Hoja3!$C$3:$C$1124,Hoja3!$D$3:$D$1124)</f>
        <v>GONZÁLEZ</v>
      </c>
      <c r="F419" s="41">
        <v>43962</v>
      </c>
    </row>
    <row r="420" spans="1:6" x14ac:dyDescent="0.25">
      <c r="A420" s="37" t="s">
        <v>517</v>
      </c>
      <c r="B420" s="38" t="str">
        <f t="shared" si="12"/>
        <v>25</v>
      </c>
      <c r="C420" s="39" t="str">
        <f>+_xlfn.XLOOKUP(A420,Hoja3!$C$3:$C$1124,Hoja3!$B$3:$B$1124)</f>
        <v>CUNDINAMARCA</v>
      </c>
      <c r="D420" s="40" t="str">
        <f t="shared" si="13"/>
        <v>312</v>
      </c>
      <c r="E420" s="39" t="str">
        <f>+_xlfn.XLOOKUP(A420,Hoja3!$C$3:$C$1124,Hoja3!$D$3:$D$1124)</f>
        <v>GRANADA</v>
      </c>
      <c r="F420" s="41">
        <v>43985</v>
      </c>
    </row>
    <row r="421" spans="1:6" x14ac:dyDescent="0.25">
      <c r="A421" s="37" t="s">
        <v>58</v>
      </c>
      <c r="B421" s="38" t="str">
        <f t="shared" si="12"/>
        <v>05</v>
      </c>
      <c r="C421" s="39" t="str">
        <f>+_xlfn.XLOOKUP(A421,Hoja3!$C$3:$C$1124,Hoja3!$B$3:$B$1124)</f>
        <v>ANTIOQUIA</v>
      </c>
      <c r="D421" s="40" t="str">
        <f t="shared" si="13"/>
        <v>313</v>
      </c>
      <c r="E421" s="39" t="str">
        <f>+_xlfn.XLOOKUP(A421,Hoja3!$C$3:$C$1124,Hoja3!$D$3:$D$1124)</f>
        <v>GRANADA</v>
      </c>
      <c r="F421" s="41">
        <v>43927</v>
      </c>
    </row>
    <row r="422" spans="1:6" x14ac:dyDescent="0.25">
      <c r="A422" s="37" t="s">
        <v>686</v>
      </c>
      <c r="B422" s="38" t="str">
        <f t="shared" si="12"/>
        <v>50</v>
      </c>
      <c r="C422" s="39" t="str">
        <f>+_xlfn.XLOOKUP(A422,Hoja3!$C$3:$C$1124,Hoja3!$B$3:$B$1124)</f>
        <v>META</v>
      </c>
      <c r="D422" s="40" t="str">
        <f t="shared" si="13"/>
        <v>313</v>
      </c>
      <c r="E422" s="39" t="str">
        <f>+_xlfn.XLOOKUP(A422,Hoja3!$C$3:$C$1124,Hoja3!$D$3:$D$1124)</f>
        <v>GRANADA</v>
      </c>
      <c r="F422" s="41">
        <v>43935</v>
      </c>
    </row>
    <row r="423" spans="1:6" x14ac:dyDescent="0.25">
      <c r="A423" s="37" t="s">
        <v>779</v>
      </c>
      <c r="B423" s="38" t="str">
        <f t="shared" si="12"/>
        <v>54</v>
      </c>
      <c r="C423" s="39" t="str">
        <f>+_xlfn.XLOOKUP(A423,Hoja3!$C$3:$C$1124,Hoja3!$B$3:$B$1124)</f>
        <v>NORTE DE SANTANDER</v>
      </c>
      <c r="D423" s="40" t="str">
        <f t="shared" si="13"/>
        <v>313</v>
      </c>
      <c r="E423" s="39" t="str">
        <f>+_xlfn.XLOOKUP(A423,Hoja3!$C$3:$C$1124,Hoja3!$D$3:$D$1124)</f>
        <v>GRAMALOTE</v>
      </c>
      <c r="F423" s="41">
        <v>44016</v>
      </c>
    </row>
    <row r="424" spans="1:6" x14ac:dyDescent="0.25">
      <c r="A424" s="37" t="s">
        <v>59</v>
      </c>
      <c r="B424" s="38" t="str">
        <f t="shared" si="12"/>
        <v>05</v>
      </c>
      <c r="C424" s="39" t="str">
        <f>+_xlfn.XLOOKUP(A424,Hoja3!$C$3:$C$1124,Hoja3!$B$3:$B$1124)</f>
        <v>ANTIOQUIA</v>
      </c>
      <c r="D424" s="40" t="str">
        <f t="shared" si="13"/>
        <v>315</v>
      </c>
      <c r="E424" s="39" t="str">
        <f>+_xlfn.XLOOKUP(A424,Hoja3!$C$3:$C$1124,Hoja3!$D$3:$D$1124)</f>
        <v>GUADALUPE</v>
      </c>
      <c r="F424" s="41">
        <v>44034</v>
      </c>
    </row>
    <row r="425" spans="1:6" x14ac:dyDescent="0.25">
      <c r="A425" s="37" t="s">
        <v>358</v>
      </c>
      <c r="B425" s="38" t="str">
        <f t="shared" si="12"/>
        <v>85</v>
      </c>
      <c r="C425" s="39" t="str">
        <f>+_xlfn.XLOOKUP(A425,Hoja3!$C$3:$C$1124,Hoja3!$B$3:$B$1124)</f>
        <v>CASANARE</v>
      </c>
      <c r="D425" s="40" t="str">
        <f t="shared" si="13"/>
        <v>315</v>
      </c>
      <c r="E425" s="39" t="str">
        <f>+_xlfn.XLOOKUP(A425,Hoja3!$C$3:$C$1124,Hoja3!$D$3:$D$1124)</f>
        <v>SÁCAMA</v>
      </c>
      <c r="F425" s="41">
        <v>44086</v>
      </c>
    </row>
    <row r="426" spans="1:6" x14ac:dyDescent="0.25">
      <c r="A426" s="37" t="s">
        <v>236</v>
      </c>
      <c r="B426" s="38" t="str">
        <f t="shared" si="12"/>
        <v>15</v>
      </c>
      <c r="C426" s="39" t="str">
        <f>+_xlfn.XLOOKUP(A426,Hoja3!$C$3:$C$1124,Hoja3!$B$3:$B$1124)</f>
        <v>BOYACÁ</v>
      </c>
      <c r="D426" s="40" t="str">
        <f t="shared" si="13"/>
        <v>317</v>
      </c>
      <c r="E426" s="39" t="str">
        <f>+_xlfn.XLOOKUP(A426,Hoja3!$C$3:$C$1124,Hoja3!$D$3:$D$1124)</f>
        <v>GUACAMAYAS</v>
      </c>
      <c r="F426" s="41">
        <v>44047</v>
      </c>
    </row>
    <row r="427" spans="1:6" x14ac:dyDescent="0.25">
      <c r="A427" s="37" t="s">
        <v>518</v>
      </c>
      <c r="B427" s="38" t="str">
        <f t="shared" si="12"/>
        <v>25</v>
      </c>
      <c r="C427" s="39" t="str">
        <f>+_xlfn.XLOOKUP(A427,Hoja3!$C$3:$C$1124,Hoja3!$B$3:$B$1124)</f>
        <v>CUNDINAMARCA</v>
      </c>
      <c r="D427" s="40" t="str">
        <f t="shared" si="13"/>
        <v>317</v>
      </c>
      <c r="E427" s="39" t="str">
        <f>+_xlfn.XLOOKUP(A427,Hoja3!$C$3:$C$1124,Hoja3!$D$3:$D$1124)</f>
        <v>GUACHETÁ</v>
      </c>
      <c r="F427" s="41">
        <v>44035</v>
      </c>
    </row>
    <row r="428" spans="1:6" x14ac:dyDescent="0.25">
      <c r="A428" s="37" t="s">
        <v>723</v>
      </c>
      <c r="B428" s="38" t="str">
        <f t="shared" si="12"/>
        <v>52</v>
      </c>
      <c r="C428" s="39" t="str">
        <f>+_xlfn.XLOOKUP(A428,Hoja3!$C$3:$C$1124,Hoja3!$B$3:$B$1124)</f>
        <v>NARIÑO</v>
      </c>
      <c r="D428" s="40" t="str">
        <f t="shared" si="13"/>
        <v>317</v>
      </c>
      <c r="E428" s="39" t="str">
        <f>+_xlfn.XLOOKUP(A428,Hoja3!$C$3:$C$1124,Hoja3!$D$3:$D$1124)</f>
        <v>GUACHUCAL</v>
      </c>
      <c r="F428" s="41">
        <v>43931</v>
      </c>
    </row>
    <row r="429" spans="1:6" x14ac:dyDescent="0.25">
      <c r="A429" s="37" t="s">
        <v>60</v>
      </c>
      <c r="B429" s="38" t="str">
        <f t="shared" si="12"/>
        <v>05</v>
      </c>
      <c r="C429" s="39" t="str">
        <f>+_xlfn.XLOOKUP(A429,Hoja3!$C$3:$C$1124,Hoja3!$B$3:$B$1124)</f>
        <v>ANTIOQUIA</v>
      </c>
      <c r="D429" s="40" t="str">
        <f t="shared" si="13"/>
        <v>318</v>
      </c>
      <c r="E429" s="39" t="str">
        <f>+_xlfn.XLOOKUP(A429,Hoja3!$C$3:$C$1124,Hoja3!$D$3:$D$1124)</f>
        <v>GUARNE</v>
      </c>
      <c r="F429" s="41">
        <v>43903</v>
      </c>
    </row>
    <row r="430" spans="1:6" x14ac:dyDescent="0.25">
      <c r="A430" s="37" t="s">
        <v>833</v>
      </c>
      <c r="B430" s="38" t="str">
        <f t="shared" si="12"/>
        <v>66</v>
      </c>
      <c r="C430" s="39" t="str">
        <f>+_xlfn.XLOOKUP(A430,Hoja3!$C$3:$C$1124,Hoja3!$B$3:$B$1124)</f>
        <v>RISARALDA</v>
      </c>
      <c r="D430" s="40" t="str">
        <f t="shared" si="13"/>
        <v>318</v>
      </c>
      <c r="E430" s="39" t="str">
        <f>+_xlfn.XLOOKUP(A430,Hoja3!$C$3:$C$1124,Hoja3!$D$3:$D$1124)</f>
        <v>GUÁTICA</v>
      </c>
      <c r="F430" s="41">
        <v>44049</v>
      </c>
    </row>
    <row r="431" spans="1:6" x14ac:dyDescent="0.25">
      <c r="A431" s="37" t="s">
        <v>374</v>
      </c>
      <c r="B431" s="38" t="str">
        <f t="shared" si="12"/>
        <v>19</v>
      </c>
      <c r="C431" s="39" t="str">
        <f>+_xlfn.XLOOKUP(A431,Hoja3!$C$3:$C$1124,Hoja3!$B$3:$B$1124)</f>
        <v>CAUCA</v>
      </c>
      <c r="D431" s="40" t="str">
        <f t="shared" si="13"/>
        <v>318</v>
      </c>
      <c r="E431" s="39" t="str">
        <f>+_xlfn.XLOOKUP(A431,Hoja3!$C$3:$C$1124,Hoja3!$D$3:$D$1124)</f>
        <v>GUAPI</v>
      </c>
      <c r="F431" s="41">
        <v>43976</v>
      </c>
    </row>
    <row r="432" spans="1:6" x14ac:dyDescent="0.25">
      <c r="A432" s="37" t="s">
        <v>658</v>
      </c>
      <c r="B432" s="38" t="str">
        <f t="shared" si="12"/>
        <v>47</v>
      </c>
      <c r="C432" s="39" t="str">
        <f>+_xlfn.XLOOKUP(A432,Hoja3!$C$3:$C$1124,Hoja3!$B$3:$B$1124)</f>
        <v>MAGDALENA</v>
      </c>
      <c r="D432" s="40" t="str">
        <f t="shared" si="13"/>
        <v>318</v>
      </c>
      <c r="E432" s="39" t="str">
        <f>+_xlfn.XLOOKUP(A432,Hoja3!$C$3:$C$1124,Hoja3!$D$3:$D$1124)</f>
        <v>GUAMAL</v>
      </c>
      <c r="F432" s="41">
        <v>43999</v>
      </c>
    </row>
    <row r="433" spans="1:6" x14ac:dyDescent="0.25">
      <c r="A433" s="37" t="s">
        <v>687</v>
      </c>
      <c r="B433" s="38" t="str">
        <f t="shared" si="12"/>
        <v>50</v>
      </c>
      <c r="C433" s="39" t="str">
        <f>+_xlfn.XLOOKUP(A433,Hoja3!$C$3:$C$1124,Hoja3!$B$3:$B$1124)</f>
        <v>META</v>
      </c>
      <c r="D433" s="40" t="str">
        <f t="shared" si="13"/>
        <v>318</v>
      </c>
      <c r="E433" s="39" t="str">
        <f>+_xlfn.XLOOKUP(A433,Hoja3!$C$3:$C$1124,Hoja3!$D$3:$D$1124)</f>
        <v>GUAMAL</v>
      </c>
      <c r="F433" s="41">
        <v>44040</v>
      </c>
    </row>
    <row r="434" spans="1:6" x14ac:dyDescent="0.25">
      <c r="A434" s="37" t="s">
        <v>877</v>
      </c>
      <c r="B434" s="38" t="str">
        <f t="shared" si="12"/>
        <v>68</v>
      </c>
      <c r="C434" s="39" t="str">
        <f>+_xlfn.XLOOKUP(A434,Hoja3!$C$3:$C$1124,Hoja3!$B$3:$B$1124)</f>
        <v>SANTANDER</v>
      </c>
      <c r="D434" s="40" t="str">
        <f t="shared" si="13"/>
        <v>318</v>
      </c>
      <c r="E434" s="39" t="str">
        <f>+_xlfn.XLOOKUP(A434,Hoja3!$C$3:$C$1124,Hoja3!$D$3:$D$1124)</f>
        <v>GUACA</v>
      </c>
      <c r="F434" s="41">
        <v>44043</v>
      </c>
    </row>
    <row r="435" spans="1:6" x14ac:dyDescent="0.25">
      <c r="A435" s="37" t="s">
        <v>1007</v>
      </c>
      <c r="B435" s="38" t="str">
        <f t="shared" si="12"/>
        <v>76</v>
      </c>
      <c r="C435" s="39" t="str">
        <f>+_xlfn.XLOOKUP(A435,Hoja3!$C$3:$C$1124,Hoja3!$B$3:$B$1124)</f>
        <v>VALLE DEL CAUCA</v>
      </c>
      <c r="D435" s="40" t="str">
        <f t="shared" si="13"/>
        <v>318</v>
      </c>
      <c r="E435" s="39" t="str">
        <f>+_xlfn.XLOOKUP(A435,Hoja3!$C$3:$C$1124,Hoja3!$D$3:$D$1124)</f>
        <v>GUACARÍ</v>
      </c>
      <c r="F435" s="41">
        <v>43916</v>
      </c>
    </row>
    <row r="436" spans="1:6" x14ac:dyDescent="0.25">
      <c r="A436" s="37" t="s">
        <v>607</v>
      </c>
      <c r="B436" s="38" t="str">
        <f t="shared" si="12"/>
        <v>41</v>
      </c>
      <c r="C436" s="39" t="str">
        <f>+_xlfn.XLOOKUP(A436,Hoja3!$C$3:$C$1124,Hoja3!$B$3:$B$1124)</f>
        <v>HUILA</v>
      </c>
      <c r="D436" s="40" t="str">
        <f t="shared" si="13"/>
        <v>319</v>
      </c>
      <c r="E436" s="39" t="str">
        <f>+_xlfn.XLOOKUP(A436,Hoja3!$C$3:$C$1124,Hoja3!$D$3:$D$1124)</f>
        <v>GUADALUPE</v>
      </c>
      <c r="F436" s="41">
        <v>44025</v>
      </c>
    </row>
    <row r="437" spans="1:6" x14ac:dyDescent="0.25">
      <c r="A437" s="37" t="s">
        <v>963</v>
      </c>
      <c r="B437" s="38" t="str">
        <f t="shared" si="12"/>
        <v>73</v>
      </c>
      <c r="C437" s="39" t="str">
        <f>+_xlfn.XLOOKUP(A437,Hoja3!$C$3:$C$1124,Hoja3!$B$3:$B$1124)</f>
        <v>TOLIMA</v>
      </c>
      <c r="D437" s="40" t="str">
        <f t="shared" si="13"/>
        <v>319</v>
      </c>
      <c r="E437" s="39" t="str">
        <f>+_xlfn.XLOOKUP(A437,Hoja3!$C$3:$C$1124,Hoja3!$D$3:$D$1124)</f>
        <v>GUAMO</v>
      </c>
      <c r="F437" s="41">
        <v>43935</v>
      </c>
    </row>
    <row r="438" spans="1:6" x14ac:dyDescent="0.25">
      <c r="A438" s="37" t="s">
        <v>519</v>
      </c>
      <c r="B438" s="38" t="str">
        <f t="shared" si="12"/>
        <v>25</v>
      </c>
      <c r="C438" s="39" t="str">
        <f>+_xlfn.XLOOKUP(A438,Hoja3!$C$3:$C$1124,Hoja3!$B$3:$B$1124)</f>
        <v>CUNDINAMARCA</v>
      </c>
      <c r="D438" s="40" t="str">
        <f t="shared" si="13"/>
        <v>320</v>
      </c>
      <c r="E438" s="39" t="str">
        <f>+_xlfn.XLOOKUP(A438,Hoja3!$C$3:$C$1124,Hoja3!$D$3:$D$1124)</f>
        <v>GUADUAS</v>
      </c>
      <c r="F438" s="41">
        <v>43921</v>
      </c>
    </row>
    <row r="439" spans="1:6" x14ac:dyDescent="0.25">
      <c r="A439" s="37" t="s">
        <v>724</v>
      </c>
      <c r="B439" s="38" t="str">
        <f t="shared" si="12"/>
        <v>52</v>
      </c>
      <c r="C439" s="39" t="str">
        <f>+_xlfn.XLOOKUP(A439,Hoja3!$C$3:$C$1124,Hoja3!$B$3:$B$1124)</f>
        <v>NARIÑO</v>
      </c>
      <c r="D439" s="40" t="str">
        <f t="shared" si="13"/>
        <v>320</v>
      </c>
      <c r="E439" s="39" t="str">
        <f>+_xlfn.XLOOKUP(A439,Hoja3!$C$3:$C$1124,Hoja3!$D$3:$D$1124)</f>
        <v>GUAITARILLA</v>
      </c>
      <c r="F439" s="41">
        <v>43973</v>
      </c>
    </row>
    <row r="440" spans="1:6" x14ac:dyDescent="0.25">
      <c r="A440" s="37" t="s">
        <v>806</v>
      </c>
      <c r="B440" s="38" t="str">
        <f t="shared" si="12"/>
        <v>86</v>
      </c>
      <c r="C440" s="39" t="str">
        <f>+_xlfn.XLOOKUP(A440,Hoja3!$C$3:$C$1124,Hoja3!$B$3:$B$1124)</f>
        <v>PUTUMAYO</v>
      </c>
      <c r="D440" s="40" t="str">
        <f t="shared" si="13"/>
        <v>320</v>
      </c>
      <c r="E440" s="39" t="str">
        <f>+_xlfn.XLOOKUP(A440,Hoja3!$C$3:$C$1124,Hoja3!$D$3:$D$1124)</f>
        <v>ORITO</v>
      </c>
      <c r="F440" s="41">
        <v>43965</v>
      </c>
    </row>
    <row r="441" spans="1:6" x14ac:dyDescent="0.25">
      <c r="A441" s="38" t="s">
        <v>2088</v>
      </c>
      <c r="B441" s="38" t="str">
        <f t="shared" si="12"/>
        <v>68</v>
      </c>
      <c r="C441" s="39" t="str">
        <f>+_xlfn.XLOOKUP(A441,Hoja3!$C$3:$C$1124,Hoja3!$B$3:$B$1124)</f>
        <v>SANTANDER</v>
      </c>
      <c r="D441" s="40" t="str">
        <f t="shared" si="13"/>
        <v>320</v>
      </c>
      <c r="E441" s="39" t="str">
        <f>+_xlfn.XLOOKUP(A441,Hoja3!$C$3:$C$1124,Hoja3!$D$3:$D$1124)</f>
        <v>GUADALUPE</v>
      </c>
      <c r="F441" s="42">
        <v>45658</v>
      </c>
    </row>
    <row r="442" spans="1:6" x14ac:dyDescent="0.25">
      <c r="A442" s="37" t="s">
        <v>61</v>
      </c>
      <c r="B442" s="38" t="str">
        <f t="shared" si="12"/>
        <v>05</v>
      </c>
      <c r="C442" s="39" t="str">
        <f>+_xlfn.XLOOKUP(A442,Hoja3!$C$3:$C$1124,Hoja3!$B$3:$B$1124)</f>
        <v>ANTIOQUIA</v>
      </c>
      <c r="D442" s="40" t="str">
        <f t="shared" si="13"/>
        <v>321</v>
      </c>
      <c r="E442" s="39" t="str">
        <f>+_xlfn.XLOOKUP(A442,Hoja3!$C$3:$C$1124,Hoja3!$D$3:$D$1124)</f>
        <v>GUATAPÉ</v>
      </c>
      <c r="F442" s="41">
        <v>43900</v>
      </c>
    </row>
    <row r="443" spans="1:6" x14ac:dyDescent="0.25">
      <c r="A443" s="37" t="s">
        <v>237</v>
      </c>
      <c r="B443" s="38" t="str">
        <f t="shared" si="12"/>
        <v>15</v>
      </c>
      <c r="C443" s="39" t="str">
        <f>+_xlfn.XLOOKUP(A443,Hoja3!$C$3:$C$1124,Hoja3!$B$3:$B$1124)</f>
        <v>BOYACÁ</v>
      </c>
      <c r="D443" s="40" t="str">
        <f t="shared" si="13"/>
        <v>322</v>
      </c>
      <c r="E443" s="39" t="str">
        <f>+_xlfn.XLOOKUP(A443,Hoja3!$C$3:$C$1124,Hoja3!$D$3:$D$1124)</f>
        <v>GUATEQUE</v>
      </c>
      <c r="F443" s="41">
        <v>43963</v>
      </c>
    </row>
    <row r="444" spans="1:6" x14ac:dyDescent="0.25">
      <c r="A444" s="37" t="s">
        <v>520</v>
      </c>
      <c r="B444" s="38" t="str">
        <f t="shared" si="12"/>
        <v>25</v>
      </c>
      <c r="C444" s="39" t="str">
        <f>+_xlfn.XLOOKUP(A444,Hoja3!$C$3:$C$1124,Hoja3!$B$3:$B$1124)</f>
        <v>CUNDINAMARCA</v>
      </c>
      <c r="D444" s="40" t="str">
        <f t="shared" si="13"/>
        <v>322</v>
      </c>
      <c r="E444" s="39" t="str">
        <f>+_xlfn.XLOOKUP(A444,Hoja3!$C$3:$C$1124,Hoja3!$D$3:$D$1124)</f>
        <v>GUASCA</v>
      </c>
      <c r="F444" s="41">
        <v>43997</v>
      </c>
    </row>
    <row r="445" spans="1:6" x14ac:dyDescent="0.25">
      <c r="A445" s="37" t="s">
        <v>878</v>
      </c>
      <c r="B445" s="38" t="str">
        <f t="shared" si="12"/>
        <v>68</v>
      </c>
      <c r="C445" s="39" t="str">
        <f>+_xlfn.XLOOKUP(A445,Hoja3!$C$3:$C$1124,Hoja3!$B$3:$B$1124)</f>
        <v>SANTANDER</v>
      </c>
      <c r="D445" s="40" t="str">
        <f t="shared" si="13"/>
        <v>322</v>
      </c>
      <c r="E445" s="39" t="str">
        <f>+_xlfn.XLOOKUP(A445,Hoja3!$C$3:$C$1124,Hoja3!$D$3:$D$1124)</f>
        <v>GUAPOTÁ</v>
      </c>
      <c r="F445" s="41">
        <v>43917</v>
      </c>
    </row>
    <row r="446" spans="1:6" x14ac:dyDescent="0.25">
      <c r="A446" s="37" t="s">
        <v>725</v>
      </c>
      <c r="B446" s="38" t="str">
        <f t="shared" si="12"/>
        <v>52</v>
      </c>
      <c r="C446" s="39" t="str">
        <f>+_xlfn.XLOOKUP(A446,Hoja3!$C$3:$C$1124,Hoja3!$B$3:$B$1124)</f>
        <v>NARIÑO</v>
      </c>
      <c r="D446" s="40" t="str">
        <f t="shared" si="13"/>
        <v>323</v>
      </c>
      <c r="E446" s="39" t="str">
        <f>+_xlfn.XLOOKUP(A446,Hoja3!$C$3:$C$1124,Hoja3!$D$3:$D$1124)</f>
        <v>GUALMATÁN</v>
      </c>
      <c r="F446" s="41">
        <v>44034</v>
      </c>
    </row>
    <row r="447" spans="1:6" x14ac:dyDescent="0.25">
      <c r="A447" s="37" t="s">
        <v>521</v>
      </c>
      <c r="B447" s="38" t="str">
        <f t="shared" si="12"/>
        <v>25</v>
      </c>
      <c r="C447" s="39" t="str">
        <f>+_xlfn.XLOOKUP(A447,Hoja3!$C$3:$C$1124,Hoja3!$B$3:$B$1124)</f>
        <v>CUNDINAMARCA</v>
      </c>
      <c r="D447" s="40" t="str">
        <f t="shared" si="13"/>
        <v>324</v>
      </c>
      <c r="E447" s="39" t="str">
        <f>+_xlfn.XLOOKUP(A447,Hoja3!$C$3:$C$1124,Hoja3!$D$3:$D$1124)</f>
        <v>GUATAQUÍ</v>
      </c>
      <c r="F447" s="41">
        <v>43988</v>
      </c>
    </row>
    <row r="448" spans="1:6" x14ac:dyDescent="0.25">
      <c r="A448" s="37" t="s">
        <v>879</v>
      </c>
      <c r="B448" s="38" t="str">
        <f t="shared" si="12"/>
        <v>68</v>
      </c>
      <c r="C448" s="39" t="str">
        <f>+_xlfn.XLOOKUP(A448,Hoja3!$C$3:$C$1124,Hoja3!$B$3:$B$1124)</f>
        <v>SANTANDER</v>
      </c>
      <c r="D448" s="40" t="str">
        <f t="shared" si="13"/>
        <v>324</v>
      </c>
      <c r="E448" s="39" t="str">
        <f>+_xlfn.XLOOKUP(A448,Hoja3!$C$3:$C$1124,Hoja3!$D$3:$D$1124)</f>
        <v>GUAVATÁ</v>
      </c>
      <c r="F448" s="41">
        <v>44026</v>
      </c>
    </row>
    <row r="449" spans="1:6" x14ac:dyDescent="0.25">
      <c r="A449" s="37" t="s">
        <v>238</v>
      </c>
      <c r="B449" s="38" t="str">
        <f t="shared" si="12"/>
        <v>15</v>
      </c>
      <c r="C449" s="39" t="str">
        <f>+_xlfn.XLOOKUP(A449,Hoja3!$C$3:$C$1124,Hoja3!$B$3:$B$1124)</f>
        <v>BOYACÁ</v>
      </c>
      <c r="D449" s="40" t="str">
        <f t="shared" si="13"/>
        <v>325</v>
      </c>
      <c r="E449" s="39" t="str">
        <f>+_xlfn.XLOOKUP(A449,Hoja3!$C$3:$C$1124,Hoja3!$D$3:$D$1124)</f>
        <v>GUAYATÁ</v>
      </c>
      <c r="F449" s="41">
        <v>43987</v>
      </c>
    </row>
    <row r="450" spans="1:6" x14ac:dyDescent="0.25">
      <c r="A450" s="37" t="s">
        <v>359</v>
      </c>
      <c r="B450" s="38" t="str">
        <f t="shared" ref="B450:B513" si="14">MID(A450,1,2)</f>
        <v>85</v>
      </c>
      <c r="C450" s="39" t="str">
        <f>+_xlfn.XLOOKUP(A450,Hoja3!$C$3:$C$1124,Hoja3!$B$3:$B$1124)</f>
        <v>CASANARE</v>
      </c>
      <c r="D450" s="40" t="str">
        <f t="shared" ref="D450:D513" si="15">MID(A450,3,3)</f>
        <v>325</v>
      </c>
      <c r="E450" s="39" t="str">
        <f>+_xlfn.XLOOKUP(A450,Hoja3!$C$3:$C$1124,Hoja3!$D$3:$D$1124)</f>
        <v>SAN LUIS DE PALENQUE</v>
      </c>
      <c r="F450" s="41">
        <v>44042</v>
      </c>
    </row>
    <row r="451" spans="1:6" x14ac:dyDescent="0.25">
      <c r="A451" s="37" t="s">
        <v>688</v>
      </c>
      <c r="B451" s="38" t="str">
        <f t="shared" si="14"/>
        <v>50</v>
      </c>
      <c r="C451" s="39" t="str">
        <f>+_xlfn.XLOOKUP(A451,Hoja3!$C$3:$C$1124,Hoja3!$B$3:$B$1124)</f>
        <v>META</v>
      </c>
      <c r="D451" s="40" t="str">
        <f t="shared" si="15"/>
        <v>325</v>
      </c>
      <c r="E451" s="39" t="str">
        <f>+_xlfn.XLOOKUP(A451,Hoja3!$C$3:$C$1124,Hoja3!$D$3:$D$1124)</f>
        <v>MAPIRIPÁN</v>
      </c>
      <c r="F451" s="41">
        <v>44015</v>
      </c>
    </row>
    <row r="452" spans="1:6" x14ac:dyDescent="0.25">
      <c r="A452" s="37" t="s">
        <v>522</v>
      </c>
      <c r="B452" s="38" t="str">
        <f t="shared" si="14"/>
        <v>25</v>
      </c>
      <c r="C452" s="39" t="str">
        <f>+_xlfn.XLOOKUP(A452,Hoja3!$C$3:$C$1124,Hoja3!$B$3:$B$1124)</f>
        <v>CUNDINAMARCA</v>
      </c>
      <c r="D452" s="40" t="str">
        <f t="shared" si="15"/>
        <v>326</v>
      </c>
      <c r="E452" s="39" t="str">
        <f>+_xlfn.XLOOKUP(A452,Hoja3!$C$3:$C$1124,Hoja3!$D$3:$D$1124)</f>
        <v>GUATAVITA</v>
      </c>
      <c r="F452" s="41">
        <v>43982</v>
      </c>
    </row>
    <row r="453" spans="1:6" x14ac:dyDescent="0.25">
      <c r="A453" s="37" t="s">
        <v>880</v>
      </c>
      <c r="B453" s="38" t="str">
        <f t="shared" si="14"/>
        <v>68</v>
      </c>
      <c r="C453" s="39" t="str">
        <f>+_xlfn.XLOOKUP(A453,Hoja3!$C$3:$C$1124,Hoja3!$B$3:$B$1124)</f>
        <v>SANTANDER</v>
      </c>
      <c r="D453" s="40" t="str">
        <f t="shared" si="15"/>
        <v>327</v>
      </c>
      <c r="E453" s="39" t="str">
        <f>+_xlfn.XLOOKUP(A453,Hoja3!$C$3:$C$1124,Hoja3!$D$3:$D$1124)</f>
        <v>GÜEPSA</v>
      </c>
      <c r="F453" s="41">
        <v>44084</v>
      </c>
    </row>
    <row r="454" spans="1:6" x14ac:dyDescent="0.25">
      <c r="A454" s="38" t="s">
        <v>2110</v>
      </c>
      <c r="B454" s="38" t="str">
        <f t="shared" si="14"/>
        <v>25</v>
      </c>
      <c r="C454" s="39" t="str">
        <f>+_xlfn.XLOOKUP(A454,Hoja3!$C$3:$C$1124,Hoja3!$B$3:$B$1124)</f>
        <v>CUNDINAMARCA</v>
      </c>
      <c r="D454" s="40" t="str">
        <f t="shared" si="15"/>
        <v>328</v>
      </c>
      <c r="E454" s="39" t="str">
        <f>+_xlfn.XLOOKUP(A454,Hoja3!$C$3:$C$1124,Hoja3!$D$3:$D$1124)</f>
        <v>GUAYABAL DE SÍQUIMA</v>
      </c>
      <c r="F454" s="42">
        <v>45658</v>
      </c>
    </row>
    <row r="455" spans="1:6" x14ac:dyDescent="0.25">
      <c r="A455" s="37" t="s">
        <v>689</v>
      </c>
      <c r="B455" s="38" t="str">
        <f t="shared" si="14"/>
        <v>50</v>
      </c>
      <c r="C455" s="39" t="str">
        <f>+_xlfn.XLOOKUP(A455,Hoja3!$C$3:$C$1124,Hoja3!$B$3:$B$1124)</f>
        <v>META</v>
      </c>
      <c r="D455" s="40" t="str">
        <f t="shared" si="15"/>
        <v>330</v>
      </c>
      <c r="E455" s="39" t="str">
        <f>+_xlfn.XLOOKUP(A455,Hoja3!$C$3:$C$1124,Hoja3!$D$3:$D$1124)</f>
        <v>MESETAS</v>
      </c>
      <c r="F455" s="41">
        <v>44007</v>
      </c>
    </row>
    <row r="456" spans="1:6" x14ac:dyDescent="0.25">
      <c r="A456" s="38" t="s">
        <v>2101</v>
      </c>
      <c r="B456" s="38" t="str">
        <f t="shared" si="14"/>
        <v>15</v>
      </c>
      <c r="C456" s="39" t="str">
        <f>+_xlfn.XLOOKUP(A456,Hoja3!$C$3:$C$1124,Hoja3!$B$3:$B$1124)</f>
        <v>BOYACÁ</v>
      </c>
      <c r="D456" s="40" t="str">
        <f t="shared" si="15"/>
        <v>332</v>
      </c>
      <c r="E456" s="39" t="str">
        <f>+_xlfn.XLOOKUP(A456,Hoja3!$C$3:$C$1124,Hoja3!$D$3:$D$1124)</f>
        <v>GÜICÁN DE LA SIERRA</v>
      </c>
      <c r="F456" s="42">
        <v>45658</v>
      </c>
    </row>
    <row r="457" spans="1:6" x14ac:dyDescent="0.25">
      <c r="A457" s="37" t="s">
        <v>523</v>
      </c>
      <c r="B457" s="38" t="str">
        <f t="shared" si="14"/>
        <v>25</v>
      </c>
      <c r="C457" s="39" t="str">
        <f>+_xlfn.XLOOKUP(A457,Hoja3!$C$3:$C$1124,Hoja3!$B$3:$B$1124)</f>
        <v>CUNDINAMARCA</v>
      </c>
      <c r="D457" s="40" t="str">
        <f t="shared" si="15"/>
        <v>335</v>
      </c>
      <c r="E457" s="39" t="str">
        <f>+_xlfn.XLOOKUP(A457,Hoja3!$C$3:$C$1124,Hoja3!$D$3:$D$1124)</f>
        <v>GUAYABETAL</v>
      </c>
      <c r="F457" s="41">
        <v>44044</v>
      </c>
    </row>
    <row r="458" spans="1:6" x14ac:dyDescent="0.25">
      <c r="A458" s="38" t="s">
        <v>2099</v>
      </c>
      <c r="B458" s="38" t="str">
        <f t="shared" si="14"/>
        <v>25</v>
      </c>
      <c r="C458" s="39" t="str">
        <f>+_xlfn.XLOOKUP(A458,Hoja3!$C$3:$C$1124,Hoja3!$B$3:$B$1124)</f>
        <v>CUNDINAMARCA</v>
      </c>
      <c r="D458" s="40" t="str">
        <f t="shared" si="15"/>
        <v>339</v>
      </c>
      <c r="E458" s="39" t="str">
        <f>+_xlfn.XLOOKUP(A458,Hoja3!$C$3:$C$1124,Hoja3!$D$3:$D$1124)</f>
        <v>GUTIÉRREZ</v>
      </c>
      <c r="F458" s="42">
        <v>45658</v>
      </c>
    </row>
    <row r="459" spans="1:6" x14ac:dyDescent="0.25">
      <c r="A459" s="38" t="s">
        <v>2095</v>
      </c>
      <c r="B459" s="38" t="str">
        <f t="shared" si="14"/>
        <v>94</v>
      </c>
      <c r="C459" s="39" t="str">
        <f>+_xlfn.XLOOKUP(A459,Hoja3!$C$3:$C$1124,Hoja3!$B$3:$B$1124)</f>
        <v>GUAINÍA</v>
      </c>
      <c r="D459" s="40" t="str">
        <f t="shared" si="15"/>
        <v>343</v>
      </c>
      <c r="E459" s="39" t="str">
        <f>+_xlfn.XLOOKUP(A459,Hoja3!$C$3:$C$1124,Hoja3!$D$3:$D$1124)</f>
        <v>BARRANCOMINAS</v>
      </c>
      <c r="F459" s="42">
        <v>45658</v>
      </c>
    </row>
    <row r="460" spans="1:6" x14ac:dyDescent="0.25">
      <c r="A460" s="37" t="s">
        <v>780</v>
      </c>
      <c r="B460" s="38" t="str">
        <f t="shared" si="14"/>
        <v>54</v>
      </c>
      <c r="C460" s="39" t="str">
        <f>+_xlfn.XLOOKUP(A460,Hoja3!$C$3:$C$1124,Hoja3!$B$3:$B$1124)</f>
        <v>NORTE DE SANTANDER</v>
      </c>
      <c r="D460" s="40" t="str">
        <f t="shared" si="15"/>
        <v>344</v>
      </c>
      <c r="E460" s="39" t="str">
        <f>+_xlfn.XLOOKUP(A460,Hoja3!$C$3:$C$1124,Hoja3!$D$3:$D$1124)</f>
        <v>HACARÍ</v>
      </c>
      <c r="F460" s="41">
        <v>44040</v>
      </c>
    </row>
    <row r="461" spans="1:6" x14ac:dyDescent="0.25">
      <c r="A461" s="37" t="s">
        <v>881</v>
      </c>
      <c r="B461" s="38" t="str">
        <f t="shared" si="14"/>
        <v>68</v>
      </c>
      <c r="C461" s="39" t="str">
        <f>+_xlfn.XLOOKUP(A461,Hoja3!$C$3:$C$1124,Hoja3!$B$3:$B$1124)</f>
        <v>SANTANDER</v>
      </c>
      <c r="D461" s="40" t="str">
        <f t="shared" si="15"/>
        <v>344</v>
      </c>
      <c r="E461" s="39" t="str">
        <f>+_xlfn.XLOOKUP(A461,Hoja3!$C$3:$C$1124,Hoja3!$D$3:$D$1124)</f>
        <v>HATO</v>
      </c>
      <c r="F461" s="41">
        <v>44018</v>
      </c>
    </row>
    <row r="462" spans="1:6" x14ac:dyDescent="0.25">
      <c r="A462" s="37" t="s">
        <v>62</v>
      </c>
      <c r="B462" s="38" t="str">
        <f t="shared" si="14"/>
        <v>05</v>
      </c>
      <c r="C462" s="39" t="str">
        <f>+_xlfn.XLOOKUP(A462,Hoja3!$C$3:$C$1124,Hoja3!$B$3:$B$1124)</f>
        <v>ANTIOQUIA</v>
      </c>
      <c r="D462" s="40" t="str">
        <f t="shared" si="15"/>
        <v>347</v>
      </c>
      <c r="E462" s="39" t="str">
        <f>+_xlfn.XLOOKUP(A462,Hoja3!$C$3:$C$1124,Hoja3!$D$3:$D$1124)</f>
        <v>HELICONIA</v>
      </c>
      <c r="F462" s="41">
        <v>44008</v>
      </c>
    </row>
    <row r="463" spans="1:6" x14ac:dyDescent="0.25">
      <c r="A463" s="37" t="s">
        <v>781</v>
      </c>
      <c r="B463" s="38" t="str">
        <f t="shared" si="14"/>
        <v>54</v>
      </c>
      <c r="C463" s="39" t="str">
        <f>+_xlfn.XLOOKUP(A463,Hoja3!$C$3:$C$1124,Hoja3!$B$3:$B$1124)</f>
        <v>NORTE DE SANTANDER</v>
      </c>
      <c r="D463" s="40" t="str">
        <f t="shared" si="15"/>
        <v>347</v>
      </c>
      <c r="E463" s="39" t="str">
        <f>+_xlfn.XLOOKUP(A463,Hoja3!$C$3:$C$1124,Hoja3!$D$3:$D$1124)</f>
        <v>HERRÁN</v>
      </c>
      <c r="F463" s="41">
        <v>44051</v>
      </c>
    </row>
    <row r="464" spans="1:6" x14ac:dyDescent="0.25">
      <c r="A464" s="37" t="s">
        <v>964</v>
      </c>
      <c r="B464" s="38" t="str">
        <f t="shared" si="14"/>
        <v>73</v>
      </c>
      <c r="C464" s="39" t="str">
        <f>+_xlfn.XLOOKUP(A464,Hoja3!$C$3:$C$1124,Hoja3!$B$3:$B$1124)</f>
        <v>TOLIMA</v>
      </c>
      <c r="D464" s="40" t="str">
        <f t="shared" si="15"/>
        <v>347</v>
      </c>
      <c r="E464" s="39" t="str">
        <f>+_xlfn.XLOOKUP(A464,Hoja3!$C$3:$C$1124,Hoja3!$D$3:$D$1124)</f>
        <v>HERVEO</v>
      </c>
      <c r="F464" s="41">
        <v>44013</v>
      </c>
    </row>
    <row r="465" spans="1:6" x14ac:dyDescent="0.25">
      <c r="A465" s="37" t="s">
        <v>608</v>
      </c>
      <c r="B465" s="38" t="str">
        <f t="shared" si="14"/>
        <v>41</v>
      </c>
      <c r="C465" s="39" t="str">
        <f>+_xlfn.XLOOKUP(A465,Hoja3!$C$3:$C$1124,Hoja3!$B$3:$B$1124)</f>
        <v>HUILA</v>
      </c>
      <c r="D465" s="40" t="str">
        <f t="shared" si="15"/>
        <v>349</v>
      </c>
      <c r="E465" s="39" t="str">
        <f>+_xlfn.XLOOKUP(A465,Hoja3!$C$3:$C$1124,Hoja3!$D$3:$D$1124)</f>
        <v>HOBO</v>
      </c>
      <c r="F465" s="41">
        <v>44022</v>
      </c>
    </row>
    <row r="466" spans="1:6" x14ac:dyDescent="0.25">
      <c r="A466" s="37" t="s">
        <v>965</v>
      </c>
      <c r="B466" s="38" t="str">
        <f t="shared" si="14"/>
        <v>73</v>
      </c>
      <c r="C466" s="39" t="str">
        <f>+_xlfn.XLOOKUP(A466,Hoja3!$C$3:$C$1124,Hoja3!$B$3:$B$1124)</f>
        <v>TOLIMA</v>
      </c>
      <c r="D466" s="40" t="str">
        <f t="shared" si="15"/>
        <v>349</v>
      </c>
      <c r="E466" s="39" t="str">
        <f>+_xlfn.XLOOKUP(A466,Hoja3!$C$3:$C$1124,Hoja3!$D$3:$D$1124)</f>
        <v>HONDA</v>
      </c>
      <c r="F466" s="41">
        <v>43959</v>
      </c>
    </row>
    <row r="467" spans="1:6" x14ac:dyDescent="0.25">
      <c r="A467" s="37" t="s">
        <v>461</v>
      </c>
      <c r="B467" s="38" t="str">
        <f t="shared" si="14"/>
        <v>23</v>
      </c>
      <c r="C467" s="39" t="str">
        <f>+_xlfn.XLOOKUP(A467,Hoja3!$C$3:$C$1124,Hoja3!$B$3:$B$1124)</f>
        <v>CÓRDOBA</v>
      </c>
      <c r="D467" s="40" t="str">
        <f t="shared" si="15"/>
        <v>350</v>
      </c>
      <c r="E467" s="39" t="str">
        <f>+_xlfn.XLOOKUP(A467,Hoja3!$C$3:$C$1124,Hoja3!$D$3:$D$1124)</f>
        <v>LA APARTADA</v>
      </c>
      <c r="F467" s="41">
        <v>44009</v>
      </c>
    </row>
    <row r="468" spans="1:6" x14ac:dyDescent="0.25">
      <c r="A468" s="37" t="s">
        <v>690</v>
      </c>
      <c r="B468" s="38" t="str">
        <f t="shared" si="14"/>
        <v>50</v>
      </c>
      <c r="C468" s="39" t="str">
        <f>+_xlfn.XLOOKUP(A468,Hoja3!$C$3:$C$1124,Hoja3!$B$3:$B$1124)</f>
        <v>META</v>
      </c>
      <c r="D468" s="40" t="str">
        <f t="shared" si="15"/>
        <v>350</v>
      </c>
      <c r="E468" s="39" t="str">
        <f>+_xlfn.XLOOKUP(A468,Hoja3!$C$3:$C$1124,Hoja3!$D$3:$D$1124)</f>
        <v>LA MACARENA</v>
      </c>
      <c r="F468" s="41">
        <v>44040</v>
      </c>
    </row>
    <row r="469" spans="1:6" x14ac:dyDescent="0.25">
      <c r="A469" s="37" t="s">
        <v>726</v>
      </c>
      <c r="B469" s="38" t="str">
        <f t="shared" si="14"/>
        <v>52</v>
      </c>
      <c r="C469" s="39" t="str">
        <f>+_xlfn.XLOOKUP(A469,Hoja3!$C$3:$C$1124,Hoja3!$B$3:$B$1124)</f>
        <v>NARIÑO</v>
      </c>
      <c r="D469" s="40" t="str">
        <f t="shared" si="15"/>
        <v>352</v>
      </c>
      <c r="E469" s="39" t="str">
        <f>+_xlfn.XLOOKUP(A469,Hoja3!$C$3:$C$1124,Hoja3!$D$3:$D$1124)</f>
        <v>ILES</v>
      </c>
      <c r="F469" s="41">
        <v>44033</v>
      </c>
    </row>
    <row r="470" spans="1:6" x14ac:dyDescent="0.25">
      <c r="A470" s="37" t="s">
        <v>966</v>
      </c>
      <c r="B470" s="38" t="str">
        <f t="shared" si="14"/>
        <v>73</v>
      </c>
      <c r="C470" s="39" t="str">
        <f>+_xlfn.XLOOKUP(A470,Hoja3!$C$3:$C$1124,Hoja3!$B$3:$B$1124)</f>
        <v>TOLIMA</v>
      </c>
      <c r="D470" s="40" t="str">
        <f t="shared" si="15"/>
        <v>352</v>
      </c>
      <c r="E470" s="39" t="str">
        <f>+_xlfn.XLOOKUP(A470,Hoja3!$C$3:$C$1124,Hoja3!$D$3:$D$1124)</f>
        <v>ICONONZO</v>
      </c>
      <c r="F470" s="41">
        <v>44020</v>
      </c>
    </row>
    <row r="471" spans="1:6" x14ac:dyDescent="0.25">
      <c r="A471" s="37" t="s">
        <v>63</v>
      </c>
      <c r="B471" s="38" t="str">
        <f t="shared" si="14"/>
        <v>05</v>
      </c>
      <c r="C471" s="39" t="str">
        <f>+_xlfn.XLOOKUP(A471,Hoja3!$C$3:$C$1124,Hoja3!$B$3:$B$1124)</f>
        <v>ANTIOQUIA</v>
      </c>
      <c r="D471" s="40" t="str">
        <f t="shared" si="15"/>
        <v>353</v>
      </c>
      <c r="E471" s="39" t="str">
        <f>+_xlfn.XLOOKUP(A471,Hoja3!$C$3:$C$1124,Hoja3!$D$3:$D$1124)</f>
        <v>HISPANIA</v>
      </c>
      <c r="F471" s="41">
        <v>43989</v>
      </c>
    </row>
    <row r="472" spans="1:6" x14ac:dyDescent="0.25">
      <c r="A472" s="37" t="s">
        <v>727</v>
      </c>
      <c r="B472" s="38" t="str">
        <f t="shared" si="14"/>
        <v>52</v>
      </c>
      <c r="C472" s="39" t="str">
        <f>+_xlfn.XLOOKUP(A472,Hoja3!$C$3:$C$1124,Hoja3!$B$3:$B$1124)</f>
        <v>NARIÑO</v>
      </c>
      <c r="D472" s="40" t="str">
        <f t="shared" si="15"/>
        <v>354</v>
      </c>
      <c r="E472" s="39" t="str">
        <f>+_xlfn.XLOOKUP(A472,Hoja3!$C$3:$C$1124,Hoja3!$D$3:$D$1124)</f>
        <v>IMUÉS</v>
      </c>
      <c r="F472" s="41">
        <v>43974</v>
      </c>
    </row>
    <row r="473" spans="1:6" x14ac:dyDescent="0.25">
      <c r="A473" s="37" t="s">
        <v>375</v>
      </c>
      <c r="B473" s="38" t="str">
        <f t="shared" si="14"/>
        <v>19</v>
      </c>
      <c r="C473" s="39" t="str">
        <f>+_xlfn.XLOOKUP(A473,Hoja3!$C$3:$C$1124,Hoja3!$B$3:$B$1124)</f>
        <v>CAUCA</v>
      </c>
      <c r="D473" s="40" t="str">
        <f t="shared" si="15"/>
        <v>355</v>
      </c>
      <c r="E473" s="39" t="str">
        <f>+_xlfn.XLOOKUP(A473,Hoja3!$C$3:$C$1124,Hoja3!$D$3:$D$1124)</f>
        <v>INZÁ</v>
      </c>
      <c r="F473" s="41">
        <v>44034</v>
      </c>
    </row>
    <row r="474" spans="1:6" x14ac:dyDescent="0.25">
      <c r="A474" s="37" t="s">
        <v>728</v>
      </c>
      <c r="B474" s="38" t="str">
        <f t="shared" si="14"/>
        <v>52</v>
      </c>
      <c r="C474" s="39" t="str">
        <f>+_xlfn.XLOOKUP(A474,Hoja3!$C$3:$C$1124,Hoja3!$B$3:$B$1124)</f>
        <v>NARIÑO</v>
      </c>
      <c r="D474" s="40" t="str">
        <f t="shared" si="15"/>
        <v>356</v>
      </c>
      <c r="E474" s="39" t="str">
        <f>+_xlfn.XLOOKUP(A474,Hoja3!$C$3:$C$1124,Hoja3!$D$3:$D$1124)</f>
        <v>IPIALES</v>
      </c>
      <c r="F474" s="41">
        <v>43909</v>
      </c>
    </row>
    <row r="475" spans="1:6" x14ac:dyDescent="0.25">
      <c r="A475" s="37" t="s">
        <v>609</v>
      </c>
      <c r="B475" s="38" t="str">
        <f t="shared" si="14"/>
        <v>41</v>
      </c>
      <c r="C475" s="39" t="str">
        <f>+_xlfn.XLOOKUP(A475,Hoja3!$C$3:$C$1124,Hoja3!$B$3:$B$1124)</f>
        <v>HUILA</v>
      </c>
      <c r="D475" s="40" t="str">
        <f t="shared" si="15"/>
        <v>357</v>
      </c>
      <c r="E475" s="39" t="str">
        <f>+_xlfn.XLOOKUP(A475,Hoja3!$C$3:$C$1124,Hoja3!$D$3:$D$1124)</f>
        <v>ÍQUIRA</v>
      </c>
      <c r="F475" s="41">
        <v>44032</v>
      </c>
    </row>
    <row r="476" spans="1:6" x14ac:dyDescent="0.25">
      <c r="A476" s="37" t="s">
        <v>610</v>
      </c>
      <c r="B476" s="38" t="str">
        <f t="shared" si="14"/>
        <v>41</v>
      </c>
      <c r="C476" s="39" t="str">
        <f>+_xlfn.XLOOKUP(A476,Hoja3!$C$3:$C$1124,Hoja3!$B$3:$B$1124)</f>
        <v>HUILA</v>
      </c>
      <c r="D476" s="40" t="str">
        <f t="shared" si="15"/>
        <v>359</v>
      </c>
      <c r="E476" s="39" t="str">
        <f>+_xlfn.XLOOKUP(A476,Hoja3!$C$3:$C$1124,Hoja3!$D$3:$D$1124)</f>
        <v>ISNOS</v>
      </c>
      <c r="F476" s="41">
        <v>43932</v>
      </c>
    </row>
    <row r="477" spans="1:6" x14ac:dyDescent="0.25">
      <c r="A477" s="37" t="s">
        <v>64</v>
      </c>
      <c r="B477" s="38" t="str">
        <f t="shared" si="14"/>
        <v>05</v>
      </c>
      <c r="C477" s="39" t="str">
        <f>+_xlfn.XLOOKUP(A477,Hoja3!$C$3:$C$1124,Hoja3!$B$3:$B$1124)</f>
        <v>ANTIOQUIA</v>
      </c>
      <c r="D477" s="40" t="str">
        <f t="shared" si="15"/>
        <v>360</v>
      </c>
      <c r="E477" s="39" t="str">
        <f>+_xlfn.XLOOKUP(A477,Hoja3!$C$3:$C$1124,Hoja3!$D$3:$D$1124)</f>
        <v>ITAGÜÍ</v>
      </c>
      <c r="F477" s="41">
        <v>43896</v>
      </c>
    </row>
    <row r="478" spans="1:6" x14ac:dyDescent="0.25">
      <c r="A478" s="37" t="s">
        <v>440</v>
      </c>
      <c r="B478" s="38" t="str">
        <f t="shared" si="14"/>
        <v>27</v>
      </c>
      <c r="C478" s="39" t="str">
        <f>+_xlfn.XLOOKUP(A478,Hoja3!$C$3:$C$1124,Hoja3!$B$3:$B$1124)</f>
        <v>CHOCÓ</v>
      </c>
      <c r="D478" s="40" t="str">
        <f t="shared" si="15"/>
        <v>361</v>
      </c>
      <c r="E478" s="39" t="str">
        <f>+_xlfn.XLOOKUP(A478,Hoja3!$C$3:$C$1124,Hoja3!$D$3:$D$1124)</f>
        <v>ISTMINA</v>
      </c>
      <c r="F478" s="41">
        <v>43954</v>
      </c>
    </row>
    <row r="479" spans="1:6" x14ac:dyDescent="0.25">
      <c r="A479" s="37" t="s">
        <v>65</v>
      </c>
      <c r="B479" s="38" t="str">
        <f t="shared" si="14"/>
        <v>05</v>
      </c>
      <c r="C479" s="39" t="str">
        <f>+_xlfn.XLOOKUP(A479,Hoja3!$C$3:$C$1124,Hoja3!$B$3:$B$1124)</f>
        <v>ANTIOQUIA</v>
      </c>
      <c r="D479" s="40" t="str">
        <f t="shared" si="15"/>
        <v>361</v>
      </c>
      <c r="E479" s="39" t="str">
        <f>+_xlfn.XLOOKUP(A479,Hoja3!$C$3:$C$1124,Hoja3!$D$3:$D$1124)</f>
        <v>ITUANGO</v>
      </c>
      <c r="F479" s="41">
        <v>43953</v>
      </c>
    </row>
    <row r="480" spans="1:6" x14ac:dyDescent="0.25">
      <c r="A480" s="37" t="s">
        <v>239</v>
      </c>
      <c r="B480" s="38" t="str">
        <f t="shared" si="14"/>
        <v>15</v>
      </c>
      <c r="C480" s="39" t="str">
        <f>+_xlfn.XLOOKUP(A480,Hoja3!$C$3:$C$1124,Hoja3!$B$3:$B$1124)</f>
        <v>BOYACÁ</v>
      </c>
      <c r="D480" s="40" t="str">
        <f t="shared" si="15"/>
        <v>362</v>
      </c>
      <c r="E480" s="39" t="str">
        <f>+_xlfn.XLOOKUP(A480,Hoja3!$C$3:$C$1124,Hoja3!$D$3:$D$1124)</f>
        <v>IZA</v>
      </c>
      <c r="F480" s="41">
        <v>44033</v>
      </c>
    </row>
    <row r="481" spans="1:6" x14ac:dyDescent="0.25">
      <c r="A481" s="37" t="s">
        <v>66</v>
      </c>
      <c r="B481" s="38" t="str">
        <f t="shared" si="14"/>
        <v>05</v>
      </c>
      <c r="C481" s="39" t="str">
        <f>+_xlfn.XLOOKUP(A481,Hoja3!$C$3:$C$1124,Hoja3!$B$3:$B$1124)</f>
        <v>ANTIOQUIA</v>
      </c>
      <c r="D481" s="40" t="str">
        <f t="shared" si="15"/>
        <v>364</v>
      </c>
      <c r="E481" s="39" t="str">
        <f>+_xlfn.XLOOKUP(A481,Hoja3!$C$3:$C$1124,Hoja3!$D$3:$D$1124)</f>
        <v>JARDÍN</v>
      </c>
      <c r="F481" s="41">
        <v>44037</v>
      </c>
    </row>
    <row r="482" spans="1:6" x14ac:dyDescent="0.25">
      <c r="A482" s="37" t="s">
        <v>376</v>
      </c>
      <c r="B482" s="38" t="str">
        <f t="shared" si="14"/>
        <v>19</v>
      </c>
      <c r="C482" s="39" t="str">
        <f>+_xlfn.XLOOKUP(A482,Hoja3!$C$3:$C$1124,Hoja3!$B$3:$B$1124)</f>
        <v>CAUCA</v>
      </c>
      <c r="D482" s="40" t="str">
        <f t="shared" si="15"/>
        <v>364</v>
      </c>
      <c r="E482" s="39" t="str">
        <f>+_xlfn.XLOOKUP(A482,Hoja3!$C$3:$C$1124,Hoja3!$D$3:$D$1124)</f>
        <v>JAMBALÓ</v>
      </c>
      <c r="F482" s="41">
        <v>44030</v>
      </c>
    </row>
    <row r="483" spans="1:6" x14ac:dyDescent="0.25">
      <c r="A483" s="37" t="s">
        <v>1008</v>
      </c>
      <c r="B483" s="38" t="str">
        <f t="shared" si="14"/>
        <v>76</v>
      </c>
      <c r="C483" s="39" t="str">
        <f>+_xlfn.XLOOKUP(A483,Hoja3!$C$3:$C$1124,Hoja3!$B$3:$B$1124)</f>
        <v>VALLE DEL CAUCA</v>
      </c>
      <c r="D483" s="40" t="str">
        <f t="shared" si="15"/>
        <v>364</v>
      </c>
      <c r="E483" s="39" t="str">
        <f>+_xlfn.XLOOKUP(A483,Hoja3!$C$3:$C$1124,Hoja3!$D$3:$D$1124)</f>
        <v>JAMUNDÍ</v>
      </c>
      <c r="F483" s="41">
        <v>43912</v>
      </c>
    </row>
    <row r="484" spans="1:6" x14ac:dyDescent="0.25">
      <c r="A484" s="37" t="s">
        <v>240</v>
      </c>
      <c r="B484" s="38" t="str">
        <f t="shared" si="14"/>
        <v>15</v>
      </c>
      <c r="C484" s="39" t="str">
        <f>+_xlfn.XLOOKUP(A484,Hoja3!$C$3:$C$1124,Hoja3!$B$3:$B$1124)</f>
        <v>BOYACÁ</v>
      </c>
      <c r="D484" s="40" t="str">
        <f t="shared" si="15"/>
        <v>367</v>
      </c>
      <c r="E484" s="39" t="str">
        <f>+_xlfn.XLOOKUP(A484,Hoja3!$C$3:$C$1124,Hoja3!$D$3:$D$1124)</f>
        <v>JENESANO</v>
      </c>
      <c r="F484" s="41">
        <v>44054</v>
      </c>
    </row>
    <row r="485" spans="1:6" x14ac:dyDescent="0.25">
      <c r="A485" s="37" t="s">
        <v>67</v>
      </c>
      <c r="B485" s="38" t="str">
        <f t="shared" si="14"/>
        <v>05</v>
      </c>
      <c r="C485" s="39" t="str">
        <f>+_xlfn.XLOOKUP(A485,Hoja3!$C$3:$C$1124,Hoja3!$B$3:$B$1124)</f>
        <v>ANTIOQUIA</v>
      </c>
      <c r="D485" s="40" t="str">
        <f t="shared" si="15"/>
        <v>368</v>
      </c>
      <c r="E485" s="39" t="str">
        <f>+_xlfn.XLOOKUP(A485,Hoja3!$C$3:$C$1124,Hoja3!$D$3:$D$1124)</f>
        <v>JERICÓ</v>
      </c>
      <c r="F485" s="41">
        <v>43972</v>
      </c>
    </row>
    <row r="486" spans="1:6" x14ac:dyDescent="0.25">
      <c r="A486" s="37" t="s">
        <v>241</v>
      </c>
      <c r="B486" s="38" t="str">
        <f t="shared" si="14"/>
        <v>15</v>
      </c>
      <c r="C486" s="39" t="str">
        <f>+_xlfn.XLOOKUP(A486,Hoja3!$C$3:$C$1124,Hoja3!$B$3:$B$1124)</f>
        <v>BOYACÁ</v>
      </c>
      <c r="D486" s="40" t="str">
        <f t="shared" si="15"/>
        <v>368</v>
      </c>
      <c r="E486" s="39" t="str">
        <f>+_xlfn.XLOOKUP(A486,Hoja3!$C$3:$C$1124,Hoja3!$D$3:$D$1124)</f>
        <v>JERICÓ</v>
      </c>
      <c r="F486" s="41">
        <v>44054</v>
      </c>
    </row>
    <row r="487" spans="1:6" x14ac:dyDescent="0.25">
      <c r="A487" s="38" t="s">
        <v>2065</v>
      </c>
      <c r="B487" s="38" t="str">
        <f t="shared" si="14"/>
        <v>25</v>
      </c>
      <c r="C487" s="39" t="str">
        <f>+_xlfn.XLOOKUP(A487,Hoja3!$C$3:$C$1124,Hoja3!$B$3:$B$1124)</f>
        <v>CUNDINAMARCA</v>
      </c>
      <c r="D487" s="40" t="str">
        <f t="shared" si="15"/>
        <v>368</v>
      </c>
      <c r="E487" s="39" t="str">
        <f>+_xlfn.XLOOKUP(A487,Hoja3!$C$3:$C$1124,Hoja3!$D$3:$D$1124)</f>
        <v>JERUSALÉN</v>
      </c>
      <c r="F487" s="42">
        <v>45658</v>
      </c>
    </row>
    <row r="488" spans="1:6" x14ac:dyDescent="0.25">
      <c r="A488" s="38" t="s">
        <v>2090</v>
      </c>
      <c r="B488" s="38" t="str">
        <f t="shared" si="14"/>
        <v>68</v>
      </c>
      <c r="C488" s="39" t="str">
        <f>+_xlfn.XLOOKUP(A488,Hoja3!$C$3:$C$1124,Hoja3!$B$3:$B$1124)</f>
        <v>SANTANDER</v>
      </c>
      <c r="D488" s="40" t="str">
        <f t="shared" si="15"/>
        <v>368</v>
      </c>
      <c r="E488" s="39" t="str">
        <f>+_xlfn.XLOOKUP(A488,Hoja3!$C$3:$C$1124,Hoja3!$D$3:$D$1124)</f>
        <v>JESÚS MARÍA</v>
      </c>
      <c r="F488" s="42">
        <v>45658</v>
      </c>
    </row>
    <row r="489" spans="1:6" x14ac:dyDescent="0.25">
      <c r="A489" s="37" t="s">
        <v>691</v>
      </c>
      <c r="B489" s="38" t="str">
        <f t="shared" si="14"/>
        <v>50</v>
      </c>
      <c r="C489" s="39" t="str">
        <f>+_xlfn.XLOOKUP(A489,Hoja3!$C$3:$C$1124,Hoja3!$B$3:$B$1124)</f>
        <v>META</v>
      </c>
      <c r="D489" s="40" t="str">
        <f t="shared" si="15"/>
        <v>370</v>
      </c>
      <c r="E489" s="39" t="str">
        <f>+_xlfn.XLOOKUP(A489,Hoja3!$C$3:$C$1124,Hoja3!$D$3:$D$1124)</f>
        <v>URIBE</v>
      </c>
      <c r="F489" s="41">
        <v>44059</v>
      </c>
    </row>
    <row r="490" spans="1:6" x14ac:dyDescent="0.25">
      <c r="A490" s="38" t="s">
        <v>2084</v>
      </c>
      <c r="B490" s="38" t="str">
        <f t="shared" si="14"/>
        <v>68</v>
      </c>
      <c r="C490" s="39" t="str">
        <f>+_xlfn.XLOOKUP(A490,Hoja3!$C$3:$C$1124,Hoja3!$B$3:$B$1124)</f>
        <v>SANTANDER</v>
      </c>
      <c r="D490" s="40" t="str">
        <f t="shared" si="15"/>
        <v>370</v>
      </c>
      <c r="E490" s="39" t="str">
        <f>+_xlfn.XLOOKUP(A490,Hoja3!$C$3:$C$1124,Hoja3!$D$3:$D$1124)</f>
        <v>JORDÁN</v>
      </c>
      <c r="F490" s="42">
        <v>45658</v>
      </c>
    </row>
    <row r="491" spans="1:6" x14ac:dyDescent="0.25">
      <c r="A491" s="37" t="s">
        <v>140</v>
      </c>
      <c r="B491" s="38" t="str">
        <f t="shared" si="14"/>
        <v>08</v>
      </c>
      <c r="C491" s="39" t="str">
        <f>+_xlfn.XLOOKUP(A491,Hoja3!$C$3:$C$1124,Hoja3!$B$3:$B$1124)</f>
        <v>ATLÁNTICO</v>
      </c>
      <c r="D491" s="40" t="str">
        <f t="shared" si="15"/>
        <v>372</v>
      </c>
      <c r="E491" s="39" t="str">
        <f>+_xlfn.XLOOKUP(A491,Hoja3!$C$3:$C$1124,Hoja3!$D$3:$D$1124)</f>
        <v>JUAN DE ACOSTA</v>
      </c>
      <c r="F491" s="41">
        <v>43952</v>
      </c>
    </row>
    <row r="492" spans="1:6" x14ac:dyDescent="0.25">
      <c r="A492" s="37" t="s">
        <v>524</v>
      </c>
      <c r="B492" s="38" t="str">
        <f t="shared" si="14"/>
        <v>25</v>
      </c>
      <c r="C492" s="39" t="str">
        <f>+_xlfn.XLOOKUP(A492,Hoja3!$C$3:$C$1124,Hoja3!$B$3:$B$1124)</f>
        <v>CUNDINAMARCA</v>
      </c>
      <c r="D492" s="40" t="str">
        <f t="shared" si="15"/>
        <v>372</v>
      </c>
      <c r="E492" s="39" t="str">
        <f>+_xlfn.XLOOKUP(A492,Hoja3!$C$3:$C$1124,Hoja3!$D$3:$D$1124)</f>
        <v>JUNÍN</v>
      </c>
      <c r="F492" s="41">
        <v>43962</v>
      </c>
    </row>
    <row r="493" spans="1:6" x14ac:dyDescent="0.25">
      <c r="A493" s="38" t="s">
        <v>2054</v>
      </c>
      <c r="B493" s="38" t="str">
        <f t="shared" si="14"/>
        <v>27</v>
      </c>
      <c r="C493" s="39" t="str">
        <f>+_xlfn.XLOOKUP(A493,Hoja3!$C$3:$C$1124,Hoja3!$B$3:$B$1124)</f>
        <v>CHOCÓ</v>
      </c>
      <c r="D493" s="40" t="str">
        <f t="shared" si="15"/>
        <v>372</v>
      </c>
      <c r="E493" s="39" t="str">
        <f>+_xlfn.XLOOKUP(A493,Hoja3!$C$3:$C$1124,Hoja3!$D$3:$D$1124)</f>
        <v>JURADÓ</v>
      </c>
      <c r="F493" s="42">
        <v>45658</v>
      </c>
    </row>
    <row r="494" spans="1:6" x14ac:dyDescent="0.25">
      <c r="A494" s="37" t="s">
        <v>68</v>
      </c>
      <c r="B494" s="38" t="str">
        <f t="shared" si="14"/>
        <v>05</v>
      </c>
      <c r="C494" s="39" t="str">
        <f>+_xlfn.XLOOKUP(A494,Hoja3!$C$3:$C$1124,Hoja3!$B$3:$B$1124)</f>
        <v>ANTIOQUIA</v>
      </c>
      <c r="D494" s="40" t="str">
        <f t="shared" si="15"/>
        <v>376</v>
      </c>
      <c r="E494" s="39" t="str">
        <f>+_xlfn.XLOOKUP(A494,Hoja3!$C$3:$C$1124,Hoja3!$D$3:$D$1124)</f>
        <v>LA CEJA</v>
      </c>
      <c r="F494" s="41">
        <v>43910</v>
      </c>
    </row>
    <row r="495" spans="1:6" x14ac:dyDescent="0.25">
      <c r="A495" s="37" t="s">
        <v>525</v>
      </c>
      <c r="B495" s="38" t="str">
        <f t="shared" si="14"/>
        <v>25</v>
      </c>
      <c r="C495" s="39" t="str">
        <f>+_xlfn.XLOOKUP(A495,Hoja3!$C$3:$C$1124,Hoja3!$B$3:$B$1124)</f>
        <v>CUNDINAMARCA</v>
      </c>
      <c r="D495" s="40" t="str">
        <f t="shared" si="15"/>
        <v>377</v>
      </c>
      <c r="E495" s="39" t="str">
        <f>+_xlfn.XLOOKUP(A495,Hoja3!$C$3:$C$1124,Hoja3!$D$3:$D$1124)</f>
        <v>LA CALERA</v>
      </c>
      <c r="F495" s="41">
        <v>43910</v>
      </c>
    </row>
    <row r="496" spans="1:6" x14ac:dyDescent="0.25">
      <c r="A496" s="37" t="s">
        <v>782</v>
      </c>
      <c r="B496" s="38" t="str">
        <f t="shared" si="14"/>
        <v>54</v>
      </c>
      <c r="C496" s="39" t="str">
        <f>+_xlfn.XLOOKUP(A496,Hoja3!$C$3:$C$1124,Hoja3!$B$3:$B$1124)</f>
        <v>NORTE DE SANTANDER</v>
      </c>
      <c r="D496" s="40" t="str">
        <f t="shared" si="15"/>
        <v>377</v>
      </c>
      <c r="E496" s="39" t="str">
        <f>+_xlfn.XLOOKUP(A496,Hoja3!$C$3:$C$1124,Hoja3!$D$3:$D$1124)</f>
        <v>LABATECA</v>
      </c>
      <c r="F496" s="41">
        <v>43990</v>
      </c>
    </row>
    <row r="497" spans="1:6" x14ac:dyDescent="0.25">
      <c r="A497" s="37" t="s">
        <v>882</v>
      </c>
      <c r="B497" s="38" t="str">
        <f t="shared" si="14"/>
        <v>68</v>
      </c>
      <c r="C497" s="39" t="str">
        <f>+_xlfn.XLOOKUP(A497,Hoja3!$C$3:$C$1124,Hoja3!$B$3:$B$1124)</f>
        <v>SANTANDER</v>
      </c>
      <c r="D497" s="40" t="str">
        <f t="shared" si="15"/>
        <v>377</v>
      </c>
      <c r="E497" s="39" t="str">
        <f>+_xlfn.XLOOKUP(A497,Hoja3!$C$3:$C$1124,Hoja3!$D$3:$D$1124)</f>
        <v>LA BELLEZA</v>
      </c>
      <c r="F497" s="41">
        <v>43983</v>
      </c>
    </row>
    <row r="498" spans="1:6" x14ac:dyDescent="0.25">
      <c r="A498" s="37" t="s">
        <v>1009</v>
      </c>
      <c r="B498" s="38" t="str">
        <f t="shared" si="14"/>
        <v>76</v>
      </c>
      <c r="C498" s="39" t="str">
        <f>+_xlfn.XLOOKUP(A498,Hoja3!$C$3:$C$1124,Hoja3!$B$3:$B$1124)</f>
        <v>VALLE DEL CAUCA</v>
      </c>
      <c r="D498" s="40" t="str">
        <f t="shared" si="15"/>
        <v>377</v>
      </c>
      <c r="E498" s="39" t="str">
        <f>+_xlfn.XLOOKUP(A498,Hoja3!$C$3:$C$1124,Hoja3!$D$3:$D$1124)</f>
        <v>LA CUMBRE</v>
      </c>
      <c r="F498" s="41">
        <v>43927</v>
      </c>
    </row>
    <row r="499" spans="1:6" x14ac:dyDescent="0.25">
      <c r="A499" s="38" t="s">
        <v>2068</v>
      </c>
      <c r="B499" s="38" t="str">
        <f t="shared" si="14"/>
        <v>15</v>
      </c>
      <c r="C499" s="39" t="str">
        <f>+_xlfn.XLOOKUP(A499,Hoja3!$C$3:$C$1124,Hoja3!$B$3:$B$1124)</f>
        <v>BOYACÁ</v>
      </c>
      <c r="D499" s="40" t="str">
        <f t="shared" si="15"/>
        <v>377</v>
      </c>
      <c r="E499" s="39" t="str">
        <f>+_xlfn.XLOOKUP(A499,Hoja3!$C$3:$C$1124,Hoja3!$D$3:$D$1124)</f>
        <v>LABRANZAGRANDE</v>
      </c>
      <c r="F499" s="42">
        <v>45658</v>
      </c>
    </row>
    <row r="500" spans="1:6" x14ac:dyDescent="0.25">
      <c r="A500" s="37" t="s">
        <v>611</v>
      </c>
      <c r="B500" s="38" t="str">
        <f t="shared" si="14"/>
        <v>41</v>
      </c>
      <c r="C500" s="39" t="str">
        <f>+_xlfn.XLOOKUP(A500,Hoja3!$C$3:$C$1124,Hoja3!$B$3:$B$1124)</f>
        <v>HUILA</v>
      </c>
      <c r="D500" s="40" t="str">
        <f t="shared" si="15"/>
        <v>378</v>
      </c>
      <c r="E500" s="39" t="str">
        <f>+_xlfn.XLOOKUP(A500,Hoja3!$C$3:$C$1124,Hoja3!$D$3:$D$1124)</f>
        <v>LA ARGENTINA</v>
      </c>
      <c r="F500" s="41">
        <v>44020</v>
      </c>
    </row>
    <row r="501" spans="1:6" x14ac:dyDescent="0.25">
      <c r="A501" s="37" t="s">
        <v>639</v>
      </c>
      <c r="B501" s="38" t="str">
        <f t="shared" si="14"/>
        <v>44</v>
      </c>
      <c r="C501" s="39" t="str">
        <f>+_xlfn.XLOOKUP(A501,Hoja3!$C$3:$C$1124,Hoja3!$B$3:$B$1124)</f>
        <v>LA GUAJIRA</v>
      </c>
      <c r="D501" s="40" t="str">
        <f t="shared" si="15"/>
        <v>378</v>
      </c>
      <c r="E501" s="39" t="str">
        <f>+_xlfn.XLOOKUP(A501,Hoja3!$C$3:$C$1124,Hoja3!$D$3:$D$1124)</f>
        <v>HATONUEVO</v>
      </c>
      <c r="F501" s="41">
        <v>43970</v>
      </c>
    </row>
    <row r="502" spans="1:6" x14ac:dyDescent="0.25">
      <c r="A502" s="37" t="s">
        <v>729</v>
      </c>
      <c r="B502" s="38" t="str">
        <f t="shared" si="14"/>
        <v>52</v>
      </c>
      <c r="C502" s="39" t="str">
        <f>+_xlfn.XLOOKUP(A502,Hoja3!$C$3:$C$1124,Hoja3!$B$3:$B$1124)</f>
        <v>NARIÑO</v>
      </c>
      <c r="D502" s="40" t="str">
        <f t="shared" si="15"/>
        <v>378</v>
      </c>
      <c r="E502" s="39" t="str">
        <f>+_xlfn.XLOOKUP(A502,Hoja3!$C$3:$C$1124,Hoja3!$D$3:$D$1124)</f>
        <v>LA CRUZ</v>
      </c>
      <c r="F502" s="41">
        <v>43957</v>
      </c>
    </row>
    <row r="503" spans="1:6" x14ac:dyDescent="0.25">
      <c r="A503" s="37" t="s">
        <v>69</v>
      </c>
      <c r="B503" s="38" t="str">
        <f t="shared" si="14"/>
        <v>05</v>
      </c>
      <c r="C503" s="39" t="str">
        <f>+_xlfn.XLOOKUP(A503,Hoja3!$C$3:$C$1124,Hoja3!$B$3:$B$1124)</f>
        <v>ANTIOQUIA</v>
      </c>
      <c r="D503" s="40" t="str">
        <f t="shared" si="15"/>
        <v>380</v>
      </c>
      <c r="E503" s="39" t="str">
        <f>+_xlfn.XLOOKUP(A503,Hoja3!$C$3:$C$1124,Hoja3!$D$3:$D$1124)</f>
        <v>LA ESTRELLA</v>
      </c>
      <c r="F503" s="41">
        <v>43904</v>
      </c>
    </row>
    <row r="504" spans="1:6" x14ac:dyDescent="0.25">
      <c r="A504" s="37" t="s">
        <v>242</v>
      </c>
      <c r="B504" s="38" t="str">
        <f t="shared" si="14"/>
        <v>15</v>
      </c>
      <c r="C504" s="39" t="str">
        <f>+_xlfn.XLOOKUP(A504,Hoja3!$C$3:$C$1124,Hoja3!$B$3:$B$1124)</f>
        <v>BOYACÁ</v>
      </c>
      <c r="D504" s="40" t="str">
        <f t="shared" si="15"/>
        <v>380</v>
      </c>
      <c r="E504" s="39" t="str">
        <f>+_xlfn.XLOOKUP(A504,Hoja3!$C$3:$C$1124,Hoja3!$D$3:$D$1124)</f>
        <v>LA CAPILLA</v>
      </c>
      <c r="F504" s="41">
        <v>44072</v>
      </c>
    </row>
    <row r="505" spans="1:6" x14ac:dyDescent="0.25">
      <c r="A505" s="37" t="s">
        <v>313</v>
      </c>
      <c r="B505" s="38" t="str">
        <f t="shared" si="14"/>
        <v>17</v>
      </c>
      <c r="C505" s="39" t="str">
        <f>+_xlfn.XLOOKUP(A505,Hoja3!$C$3:$C$1124,Hoja3!$B$3:$B$1124)</f>
        <v>CALDAS</v>
      </c>
      <c r="D505" s="40" t="str">
        <f t="shared" si="15"/>
        <v>380</v>
      </c>
      <c r="E505" s="39" t="str">
        <f>+_xlfn.XLOOKUP(A505,Hoja3!$C$3:$C$1124,Hoja3!$D$3:$D$1124)</f>
        <v>LA DORADA</v>
      </c>
      <c r="F505" s="41">
        <v>43903</v>
      </c>
    </row>
    <row r="506" spans="1:6" x14ac:dyDescent="0.25">
      <c r="A506" s="37" t="s">
        <v>730</v>
      </c>
      <c r="B506" s="38" t="str">
        <f t="shared" si="14"/>
        <v>52</v>
      </c>
      <c r="C506" s="39" t="str">
        <f>+_xlfn.XLOOKUP(A506,Hoja3!$C$3:$C$1124,Hoja3!$B$3:$B$1124)</f>
        <v>NARIÑO</v>
      </c>
      <c r="D506" s="40" t="str">
        <f t="shared" si="15"/>
        <v>381</v>
      </c>
      <c r="E506" s="39" t="str">
        <f>+_xlfn.XLOOKUP(A506,Hoja3!$C$3:$C$1124,Hoja3!$D$3:$D$1124)</f>
        <v>LA FLORIDA</v>
      </c>
      <c r="F506" s="41">
        <v>43945</v>
      </c>
    </row>
    <row r="507" spans="1:6" x14ac:dyDescent="0.25">
      <c r="A507" s="37" t="s">
        <v>414</v>
      </c>
      <c r="B507" s="38" t="str">
        <f t="shared" si="14"/>
        <v>20</v>
      </c>
      <c r="C507" s="39" t="str">
        <f>+_xlfn.XLOOKUP(A507,Hoja3!$C$3:$C$1124,Hoja3!$B$3:$B$1124)</f>
        <v>CESAR</v>
      </c>
      <c r="D507" s="40" t="str">
        <f t="shared" si="15"/>
        <v>383</v>
      </c>
      <c r="E507" s="39" t="str">
        <f>+_xlfn.XLOOKUP(A507,Hoja3!$C$3:$C$1124,Hoja3!$D$3:$D$1124)</f>
        <v>LA GLORIA</v>
      </c>
      <c r="F507" s="41">
        <v>43986</v>
      </c>
    </row>
    <row r="508" spans="1:6" x14ac:dyDescent="0.25">
      <c r="A508" s="37" t="s">
        <v>834</v>
      </c>
      <c r="B508" s="38" t="str">
        <f t="shared" si="14"/>
        <v>66</v>
      </c>
      <c r="C508" s="39" t="str">
        <f>+_xlfn.XLOOKUP(A508,Hoja3!$C$3:$C$1124,Hoja3!$B$3:$B$1124)</f>
        <v>RISARALDA</v>
      </c>
      <c r="D508" s="40" t="str">
        <f t="shared" si="15"/>
        <v>383</v>
      </c>
      <c r="E508" s="39" t="str">
        <f>+_xlfn.XLOOKUP(A508,Hoja3!$C$3:$C$1124,Hoja3!$D$3:$D$1124)</f>
        <v>LA CELIA</v>
      </c>
      <c r="F508" s="41">
        <v>43990</v>
      </c>
    </row>
    <row r="509" spans="1:6" x14ac:dyDescent="0.25">
      <c r="A509" s="37" t="s">
        <v>731</v>
      </c>
      <c r="B509" s="38" t="str">
        <f t="shared" si="14"/>
        <v>52</v>
      </c>
      <c r="C509" s="39" t="str">
        <f>+_xlfn.XLOOKUP(A509,Hoja3!$C$3:$C$1124,Hoja3!$B$3:$B$1124)</f>
        <v>NARIÑO</v>
      </c>
      <c r="D509" s="40" t="str">
        <f t="shared" si="15"/>
        <v>385</v>
      </c>
      <c r="E509" s="39" t="str">
        <f>+_xlfn.XLOOKUP(A509,Hoja3!$C$3:$C$1124,Hoja3!$D$3:$D$1124)</f>
        <v>LA LLANADA</v>
      </c>
      <c r="F509" s="41">
        <v>43958</v>
      </c>
    </row>
    <row r="510" spans="1:6" x14ac:dyDescent="0.25">
      <c r="A510" s="37" t="s">
        <v>783</v>
      </c>
      <c r="B510" s="38" t="str">
        <f t="shared" si="14"/>
        <v>54</v>
      </c>
      <c r="C510" s="39" t="str">
        <f>+_xlfn.XLOOKUP(A510,Hoja3!$C$3:$C$1124,Hoja3!$B$3:$B$1124)</f>
        <v>NORTE DE SANTANDER</v>
      </c>
      <c r="D510" s="40" t="str">
        <f t="shared" si="15"/>
        <v>385</v>
      </c>
      <c r="E510" s="39" t="str">
        <f>+_xlfn.XLOOKUP(A510,Hoja3!$C$3:$C$1124,Hoja3!$D$3:$D$1124)</f>
        <v>LA ESPERANZA</v>
      </c>
      <c r="F510" s="41">
        <v>44011</v>
      </c>
    </row>
    <row r="511" spans="1:6" x14ac:dyDescent="0.25">
      <c r="A511" s="37" t="s">
        <v>883</v>
      </c>
      <c r="B511" s="38" t="str">
        <f t="shared" si="14"/>
        <v>68</v>
      </c>
      <c r="C511" s="39" t="str">
        <f>+_xlfn.XLOOKUP(A511,Hoja3!$C$3:$C$1124,Hoja3!$B$3:$B$1124)</f>
        <v>SANTANDER</v>
      </c>
      <c r="D511" s="40" t="str">
        <f t="shared" si="15"/>
        <v>385</v>
      </c>
      <c r="E511" s="39" t="str">
        <f>+_xlfn.XLOOKUP(A511,Hoja3!$C$3:$C$1124,Hoja3!$D$3:$D$1124)</f>
        <v>LANDÁZURI</v>
      </c>
      <c r="F511" s="41">
        <v>44020</v>
      </c>
    </row>
    <row r="512" spans="1:6" x14ac:dyDescent="0.25">
      <c r="A512" s="37" t="s">
        <v>526</v>
      </c>
      <c r="B512" s="38" t="str">
        <f t="shared" si="14"/>
        <v>25</v>
      </c>
      <c r="C512" s="39" t="str">
        <f>+_xlfn.XLOOKUP(A512,Hoja3!$C$3:$C$1124,Hoja3!$B$3:$B$1124)</f>
        <v>CUNDINAMARCA</v>
      </c>
      <c r="D512" s="40" t="str">
        <f t="shared" si="15"/>
        <v>386</v>
      </c>
      <c r="E512" s="39" t="str">
        <f>+_xlfn.XLOOKUP(A512,Hoja3!$C$3:$C$1124,Hoja3!$D$3:$D$1124)</f>
        <v>LA MESA</v>
      </c>
      <c r="F512" s="41">
        <v>43967</v>
      </c>
    </row>
    <row r="513" spans="1:6" x14ac:dyDescent="0.25">
      <c r="A513" s="37" t="s">
        <v>314</v>
      </c>
      <c r="B513" s="38" t="str">
        <f t="shared" si="14"/>
        <v>17</v>
      </c>
      <c r="C513" s="39" t="str">
        <f>+_xlfn.XLOOKUP(A513,Hoja3!$C$3:$C$1124,Hoja3!$B$3:$B$1124)</f>
        <v>CALDAS</v>
      </c>
      <c r="D513" s="40" t="str">
        <f t="shared" si="15"/>
        <v>388</v>
      </c>
      <c r="E513" s="39" t="str">
        <f>+_xlfn.XLOOKUP(A513,Hoja3!$C$3:$C$1124,Hoja3!$D$3:$D$1124)</f>
        <v>LA MERCED</v>
      </c>
      <c r="F513" s="41">
        <v>44038</v>
      </c>
    </row>
    <row r="514" spans="1:6" x14ac:dyDescent="0.25">
      <c r="A514" s="37" t="s">
        <v>70</v>
      </c>
      <c r="B514" s="38" t="str">
        <f t="shared" ref="B514:B577" si="16">MID(A514,1,2)</f>
        <v>05</v>
      </c>
      <c r="C514" s="39" t="str">
        <f>+_xlfn.XLOOKUP(A514,Hoja3!$C$3:$C$1124,Hoja3!$B$3:$B$1124)</f>
        <v>ANTIOQUIA</v>
      </c>
      <c r="D514" s="40" t="str">
        <f t="shared" ref="D514:D577" si="17">MID(A514,3,3)</f>
        <v>390</v>
      </c>
      <c r="E514" s="39" t="str">
        <f>+_xlfn.XLOOKUP(A514,Hoja3!$C$3:$C$1124,Hoja3!$D$3:$D$1124)</f>
        <v>LA PINTADA</v>
      </c>
      <c r="F514" s="41">
        <v>44025</v>
      </c>
    </row>
    <row r="515" spans="1:6" x14ac:dyDescent="0.25">
      <c r="A515" s="37" t="s">
        <v>732</v>
      </c>
      <c r="B515" s="38" t="str">
        <f t="shared" si="16"/>
        <v>52</v>
      </c>
      <c r="C515" s="39" t="str">
        <f>+_xlfn.XLOOKUP(A515,Hoja3!$C$3:$C$1124,Hoja3!$B$3:$B$1124)</f>
        <v>NARIÑO</v>
      </c>
      <c r="D515" s="40" t="str">
        <f t="shared" si="17"/>
        <v>390</v>
      </c>
      <c r="E515" s="39" t="str">
        <f>+_xlfn.XLOOKUP(A515,Hoja3!$C$3:$C$1124,Hoja3!$D$3:$D$1124)</f>
        <v>LA TOLA</v>
      </c>
      <c r="F515" s="41">
        <v>43944</v>
      </c>
    </row>
    <row r="516" spans="1:6" x14ac:dyDescent="0.25">
      <c r="A516" s="37" t="s">
        <v>377</v>
      </c>
      <c r="B516" s="38" t="str">
        <f t="shared" si="16"/>
        <v>19</v>
      </c>
      <c r="C516" s="39" t="str">
        <f>+_xlfn.XLOOKUP(A516,Hoja3!$C$3:$C$1124,Hoja3!$B$3:$B$1124)</f>
        <v>CAUCA</v>
      </c>
      <c r="D516" s="40" t="str">
        <f t="shared" si="17"/>
        <v>392</v>
      </c>
      <c r="E516" s="39" t="str">
        <f>+_xlfn.XLOOKUP(A516,Hoja3!$C$3:$C$1124,Hoja3!$D$3:$D$1124)</f>
        <v>LA SIERRA</v>
      </c>
      <c r="F516" s="41">
        <v>44017</v>
      </c>
    </row>
    <row r="517" spans="1:6" x14ac:dyDescent="0.25">
      <c r="A517" s="37" t="s">
        <v>527</v>
      </c>
      <c r="B517" s="38" t="str">
        <f t="shared" si="16"/>
        <v>25</v>
      </c>
      <c r="C517" s="39" t="str">
        <f>+_xlfn.XLOOKUP(A517,Hoja3!$C$3:$C$1124,Hoja3!$B$3:$B$1124)</f>
        <v>CUNDINAMARCA</v>
      </c>
      <c r="D517" s="40" t="str">
        <f t="shared" si="17"/>
        <v>394</v>
      </c>
      <c r="E517" s="39" t="str">
        <f>+_xlfn.XLOOKUP(A517,Hoja3!$C$3:$C$1124,Hoja3!$D$3:$D$1124)</f>
        <v>LA PALMA</v>
      </c>
      <c r="F517" s="41">
        <v>44003</v>
      </c>
    </row>
    <row r="518" spans="1:6" x14ac:dyDescent="0.25">
      <c r="A518" s="37" t="s">
        <v>612</v>
      </c>
      <c r="B518" s="38" t="str">
        <f t="shared" si="16"/>
        <v>41</v>
      </c>
      <c r="C518" s="39" t="str">
        <f>+_xlfn.XLOOKUP(A518,Hoja3!$C$3:$C$1124,Hoja3!$B$3:$B$1124)</f>
        <v>HUILA</v>
      </c>
      <c r="D518" s="40" t="str">
        <f t="shared" si="17"/>
        <v>396</v>
      </c>
      <c r="E518" s="39" t="str">
        <f>+_xlfn.XLOOKUP(A518,Hoja3!$C$3:$C$1124,Hoja3!$D$3:$D$1124)</f>
        <v>LA PLATA</v>
      </c>
      <c r="F518" s="41">
        <v>43941</v>
      </c>
    </row>
    <row r="519" spans="1:6" x14ac:dyDescent="0.25">
      <c r="A519" s="37" t="s">
        <v>378</v>
      </c>
      <c r="B519" s="38" t="str">
        <f t="shared" si="16"/>
        <v>19</v>
      </c>
      <c r="C519" s="39" t="str">
        <f>+_xlfn.XLOOKUP(A519,Hoja3!$C$3:$C$1124,Hoja3!$B$3:$B$1124)</f>
        <v>CAUCA</v>
      </c>
      <c r="D519" s="40" t="str">
        <f t="shared" si="17"/>
        <v>397</v>
      </c>
      <c r="E519" s="39" t="str">
        <f>+_xlfn.XLOOKUP(A519,Hoja3!$C$3:$C$1124,Hoja3!$D$3:$D$1124)</f>
        <v>LA VEGA</v>
      </c>
      <c r="F519" s="41">
        <v>44045</v>
      </c>
    </row>
    <row r="520" spans="1:6" x14ac:dyDescent="0.25">
      <c r="A520" s="37" t="s">
        <v>884</v>
      </c>
      <c r="B520" s="38" t="str">
        <f t="shared" si="16"/>
        <v>68</v>
      </c>
      <c r="C520" s="39" t="str">
        <f>+_xlfn.XLOOKUP(A520,Hoja3!$C$3:$C$1124,Hoja3!$B$3:$B$1124)</f>
        <v>SANTANDER</v>
      </c>
      <c r="D520" s="40" t="str">
        <f t="shared" si="17"/>
        <v>397</v>
      </c>
      <c r="E520" s="39" t="str">
        <f>+_xlfn.XLOOKUP(A520,Hoja3!$C$3:$C$1124,Hoja3!$D$3:$D$1124)</f>
        <v>LA PAZ</v>
      </c>
      <c r="F520" s="41">
        <v>43979</v>
      </c>
    </row>
    <row r="521" spans="1:6" x14ac:dyDescent="0.25">
      <c r="A521" s="37" t="s">
        <v>784</v>
      </c>
      <c r="B521" s="38" t="str">
        <f t="shared" si="16"/>
        <v>54</v>
      </c>
      <c r="C521" s="39" t="str">
        <f>+_xlfn.XLOOKUP(A521,Hoja3!$C$3:$C$1124,Hoja3!$B$3:$B$1124)</f>
        <v>NORTE DE SANTANDER</v>
      </c>
      <c r="D521" s="40" t="str">
        <f t="shared" si="17"/>
        <v>398</v>
      </c>
      <c r="E521" s="39" t="str">
        <f>+_xlfn.XLOOKUP(A521,Hoja3!$C$3:$C$1124,Hoja3!$D$3:$D$1124)</f>
        <v>LA PLAYA</v>
      </c>
      <c r="F521" s="41">
        <v>43969</v>
      </c>
    </row>
    <row r="522" spans="1:6" x14ac:dyDescent="0.25">
      <c r="A522" s="38" t="s">
        <v>2096</v>
      </c>
      <c r="B522" s="38" t="str">
        <f t="shared" si="16"/>
        <v>25</v>
      </c>
      <c r="C522" s="39" t="str">
        <f>+_xlfn.XLOOKUP(A522,Hoja3!$C$3:$C$1124,Hoja3!$B$3:$B$1124)</f>
        <v>CUNDINAMARCA</v>
      </c>
      <c r="D522" s="40" t="str">
        <f t="shared" si="17"/>
        <v>398</v>
      </c>
      <c r="E522" s="39" t="str">
        <f>+_xlfn.XLOOKUP(A522,Hoja3!$C$3:$C$1124,Hoja3!$D$3:$D$1124)</f>
        <v>LA PEÑA</v>
      </c>
      <c r="F522" s="42">
        <v>45658</v>
      </c>
    </row>
    <row r="523" spans="1:6" x14ac:dyDescent="0.25">
      <c r="A523" s="37" t="s">
        <v>733</v>
      </c>
      <c r="B523" s="38" t="str">
        <f t="shared" si="16"/>
        <v>52</v>
      </c>
      <c r="C523" s="39" t="str">
        <f>+_xlfn.XLOOKUP(A523,Hoja3!$C$3:$C$1124,Hoja3!$B$3:$B$1124)</f>
        <v>NARIÑO</v>
      </c>
      <c r="D523" s="40" t="str">
        <f t="shared" si="17"/>
        <v>399</v>
      </c>
      <c r="E523" s="39" t="str">
        <f>+_xlfn.XLOOKUP(A523,Hoja3!$C$3:$C$1124,Hoja3!$D$3:$D$1124)</f>
        <v>LA UNIÓN</v>
      </c>
      <c r="F523" s="41">
        <v>43905</v>
      </c>
    </row>
    <row r="524" spans="1:6" x14ac:dyDescent="0.25">
      <c r="A524" s="37" t="s">
        <v>71</v>
      </c>
      <c r="B524" s="38" t="str">
        <f t="shared" si="16"/>
        <v>05</v>
      </c>
      <c r="C524" s="39" t="str">
        <f>+_xlfn.XLOOKUP(A524,Hoja3!$C$3:$C$1124,Hoja3!$B$3:$B$1124)</f>
        <v>ANTIOQUIA</v>
      </c>
      <c r="D524" s="40" t="str">
        <f t="shared" si="17"/>
        <v>400</v>
      </c>
      <c r="E524" s="39" t="str">
        <f>+_xlfn.XLOOKUP(A524,Hoja3!$C$3:$C$1124,Hoja3!$D$3:$D$1124)</f>
        <v>LA UNIÓN</v>
      </c>
      <c r="F524" s="41">
        <v>44016</v>
      </c>
    </row>
    <row r="525" spans="1:6" x14ac:dyDescent="0.25">
      <c r="A525" s="37" t="s">
        <v>415</v>
      </c>
      <c r="B525" s="38" t="str">
        <f t="shared" si="16"/>
        <v>20</v>
      </c>
      <c r="C525" s="39" t="str">
        <f>+_xlfn.XLOOKUP(A525,Hoja3!$C$3:$C$1124,Hoja3!$B$3:$B$1124)</f>
        <v>CESAR</v>
      </c>
      <c r="D525" s="40" t="str">
        <f t="shared" si="17"/>
        <v>400</v>
      </c>
      <c r="E525" s="39" t="str">
        <f>+_xlfn.XLOOKUP(A525,Hoja3!$C$3:$C$1124,Hoja3!$D$3:$D$1124)</f>
        <v>LA JAGUA DE IBIRICO</v>
      </c>
      <c r="F525" s="41">
        <v>43938</v>
      </c>
    </row>
    <row r="526" spans="1:6" x14ac:dyDescent="0.25">
      <c r="A526" s="37" t="s">
        <v>692</v>
      </c>
      <c r="B526" s="38" t="str">
        <f t="shared" si="16"/>
        <v>50</v>
      </c>
      <c r="C526" s="39" t="str">
        <f>+_xlfn.XLOOKUP(A526,Hoja3!$C$3:$C$1124,Hoja3!$B$3:$B$1124)</f>
        <v>META</v>
      </c>
      <c r="D526" s="40" t="str">
        <f t="shared" si="17"/>
        <v>400</v>
      </c>
      <c r="E526" s="39" t="str">
        <f>+_xlfn.XLOOKUP(A526,Hoja3!$C$3:$C$1124,Hoja3!$D$3:$D$1124)</f>
        <v>LEJANÍAS</v>
      </c>
      <c r="F526" s="41">
        <v>44051</v>
      </c>
    </row>
    <row r="527" spans="1:6" x14ac:dyDescent="0.25">
      <c r="A527" s="37" t="s">
        <v>835</v>
      </c>
      <c r="B527" s="38" t="str">
        <f t="shared" si="16"/>
        <v>66</v>
      </c>
      <c r="C527" s="39" t="str">
        <f>+_xlfn.XLOOKUP(A527,Hoja3!$C$3:$C$1124,Hoja3!$B$3:$B$1124)</f>
        <v>RISARALDA</v>
      </c>
      <c r="D527" s="40" t="str">
        <f t="shared" si="17"/>
        <v>400</v>
      </c>
      <c r="E527" s="39" t="str">
        <f>+_xlfn.XLOOKUP(A527,Hoja3!$C$3:$C$1124,Hoja3!$D$3:$D$1124)</f>
        <v>LA VIRGINIA</v>
      </c>
      <c r="F527" s="41">
        <v>43933</v>
      </c>
    </row>
    <row r="528" spans="1:6" x14ac:dyDescent="0.25">
      <c r="A528" s="37" t="s">
        <v>929</v>
      </c>
      <c r="B528" s="38" t="str">
        <f t="shared" si="16"/>
        <v>70</v>
      </c>
      <c r="C528" s="39" t="str">
        <f>+_xlfn.XLOOKUP(A528,Hoja3!$C$3:$C$1124,Hoja3!$B$3:$B$1124)</f>
        <v>SUCRE</v>
      </c>
      <c r="D528" s="40" t="str">
        <f t="shared" si="17"/>
        <v>400</v>
      </c>
      <c r="E528" s="39" t="str">
        <f>+_xlfn.XLOOKUP(A528,Hoja3!$C$3:$C$1124,Hoja3!$D$3:$D$1124)</f>
        <v>LA UNIÓN</v>
      </c>
      <c r="F528" s="41">
        <v>43985</v>
      </c>
    </row>
    <row r="529" spans="1:6" x14ac:dyDescent="0.25">
      <c r="A529" s="37" t="s">
        <v>1010</v>
      </c>
      <c r="B529" s="38" t="str">
        <f t="shared" si="16"/>
        <v>76</v>
      </c>
      <c r="C529" s="39" t="str">
        <f>+_xlfn.XLOOKUP(A529,Hoja3!$C$3:$C$1124,Hoja3!$B$3:$B$1124)</f>
        <v>VALLE DEL CAUCA</v>
      </c>
      <c r="D529" s="40" t="str">
        <f t="shared" si="17"/>
        <v>400</v>
      </c>
      <c r="E529" s="39" t="str">
        <f>+_xlfn.XLOOKUP(A529,Hoja3!$C$3:$C$1124,Hoja3!$D$3:$D$1124)</f>
        <v>LA UNIÓN</v>
      </c>
      <c r="F529" s="41">
        <v>43902</v>
      </c>
    </row>
    <row r="530" spans="1:6" x14ac:dyDescent="0.25">
      <c r="A530" s="38" t="s">
        <v>2105</v>
      </c>
      <c r="B530" s="38" t="str">
        <f t="shared" si="16"/>
        <v>85</v>
      </c>
      <c r="C530" s="39" t="str">
        <f>+_xlfn.XLOOKUP(A530,Hoja3!$C$3:$C$1124,Hoja3!$B$3:$B$1124)</f>
        <v>CASANARE</v>
      </c>
      <c r="D530" s="40" t="str">
        <f t="shared" si="17"/>
        <v>400</v>
      </c>
      <c r="E530" s="39" t="str">
        <f>+_xlfn.XLOOKUP(A530,Hoja3!$C$3:$C$1124,Hoja3!$D$3:$D$1124)</f>
        <v>TÁMARA</v>
      </c>
      <c r="F530" s="42">
        <v>45658</v>
      </c>
    </row>
    <row r="531" spans="1:6" x14ac:dyDescent="0.25">
      <c r="A531" s="37" t="s">
        <v>823</v>
      </c>
      <c r="B531" s="38" t="str">
        <f t="shared" si="16"/>
        <v>63</v>
      </c>
      <c r="C531" s="39" t="str">
        <f>+_xlfn.XLOOKUP(A531,Hoja3!$C$3:$C$1124,Hoja3!$B$3:$B$1124)</f>
        <v>QUINDÍO</v>
      </c>
      <c r="D531" s="40" t="str">
        <f t="shared" si="17"/>
        <v>401</v>
      </c>
      <c r="E531" s="39" t="str">
        <f>+_xlfn.XLOOKUP(A531,Hoja3!$C$3:$C$1124,Hoja3!$D$3:$D$1124)</f>
        <v>LA TEBAIDA</v>
      </c>
      <c r="F531" s="41">
        <v>43923</v>
      </c>
    </row>
    <row r="532" spans="1:6" x14ac:dyDescent="0.25">
      <c r="A532" s="38" t="s">
        <v>2094</v>
      </c>
      <c r="B532" s="38" t="str">
        <f t="shared" si="16"/>
        <v>15</v>
      </c>
      <c r="C532" s="39" t="str">
        <f>+_xlfn.XLOOKUP(A532,Hoja3!$C$3:$C$1124,Hoja3!$B$3:$B$1124)</f>
        <v>BOYACÁ</v>
      </c>
      <c r="D532" s="40" t="str">
        <f t="shared" si="17"/>
        <v>401</v>
      </c>
      <c r="E532" s="39" t="str">
        <f>+_xlfn.XLOOKUP(A532,Hoja3!$C$3:$C$1124,Hoja3!$D$3:$D$1124)</f>
        <v>LA VICTORIA</v>
      </c>
      <c r="F532" s="42">
        <v>45658</v>
      </c>
    </row>
    <row r="533" spans="1:6" x14ac:dyDescent="0.25">
      <c r="A533" s="37" t="s">
        <v>528</v>
      </c>
      <c r="B533" s="38" t="str">
        <f t="shared" si="16"/>
        <v>25</v>
      </c>
      <c r="C533" s="39" t="str">
        <f>+_xlfn.XLOOKUP(A533,Hoja3!$C$3:$C$1124,Hoja3!$B$3:$B$1124)</f>
        <v>CUNDINAMARCA</v>
      </c>
      <c r="D533" s="40" t="str">
        <f t="shared" si="17"/>
        <v>402</v>
      </c>
      <c r="E533" s="39" t="str">
        <f>+_xlfn.XLOOKUP(A533,Hoja3!$C$3:$C$1124,Hoja3!$D$3:$D$1124)</f>
        <v>LA VEGA</v>
      </c>
      <c r="F533" s="41">
        <v>43994</v>
      </c>
    </row>
    <row r="534" spans="1:6" x14ac:dyDescent="0.25">
      <c r="A534" s="37" t="s">
        <v>243</v>
      </c>
      <c r="B534" s="38" t="str">
        <f t="shared" si="16"/>
        <v>15</v>
      </c>
      <c r="C534" s="39" t="str">
        <f>+_xlfn.XLOOKUP(A534,Hoja3!$C$3:$C$1124,Hoja3!$B$3:$B$1124)</f>
        <v>BOYACÁ</v>
      </c>
      <c r="D534" s="40" t="str">
        <f t="shared" si="17"/>
        <v>403</v>
      </c>
      <c r="E534" s="39" t="str">
        <f>+_xlfn.XLOOKUP(A534,Hoja3!$C$3:$C$1124,Hoja3!$D$3:$D$1124)</f>
        <v>LA UVITA</v>
      </c>
      <c r="F534" s="41">
        <v>44025</v>
      </c>
    </row>
    <row r="535" spans="1:6" x14ac:dyDescent="0.25">
      <c r="A535" s="37" t="s">
        <v>1011</v>
      </c>
      <c r="B535" s="38" t="str">
        <f t="shared" si="16"/>
        <v>76</v>
      </c>
      <c r="C535" s="39" t="str">
        <f>+_xlfn.XLOOKUP(A535,Hoja3!$C$3:$C$1124,Hoja3!$B$3:$B$1124)</f>
        <v>VALLE DEL CAUCA</v>
      </c>
      <c r="D535" s="40" t="str">
        <f t="shared" si="17"/>
        <v>403</v>
      </c>
      <c r="E535" s="39" t="str">
        <f>+_xlfn.XLOOKUP(A535,Hoja3!$C$3:$C$1124,Hoja3!$D$3:$D$1124)</f>
        <v>LA VICTORIA</v>
      </c>
      <c r="F535" s="41">
        <v>44018</v>
      </c>
    </row>
    <row r="536" spans="1:6" x14ac:dyDescent="0.25">
      <c r="A536" s="37" t="s">
        <v>1</v>
      </c>
      <c r="B536" s="38" t="str">
        <f t="shared" si="16"/>
        <v>91</v>
      </c>
      <c r="C536" s="39" t="str">
        <f>+_xlfn.XLOOKUP(A536,Hoja3!$C$3:$C$1124,Hoja3!$B$3:$B$1124)</f>
        <v>AMAZONAS</v>
      </c>
      <c r="D536" s="40" t="str">
        <f t="shared" si="17"/>
        <v>405</v>
      </c>
      <c r="E536" s="39" t="str">
        <f>+_xlfn.XLOOKUP(A536,Hoja3!$C$3:$C$1124,Hoja3!$D$3:$D$1124)</f>
        <v>LA CHORRERA</v>
      </c>
      <c r="F536" s="41">
        <v>43997</v>
      </c>
    </row>
    <row r="537" spans="1:6" x14ac:dyDescent="0.25">
      <c r="A537" s="37" t="s">
        <v>734</v>
      </c>
      <c r="B537" s="38" t="str">
        <f t="shared" si="16"/>
        <v>52</v>
      </c>
      <c r="C537" s="39" t="str">
        <f>+_xlfn.XLOOKUP(A537,Hoja3!$C$3:$C$1124,Hoja3!$B$3:$B$1124)</f>
        <v>NARIÑO</v>
      </c>
      <c r="D537" s="40" t="str">
        <f t="shared" si="17"/>
        <v>405</v>
      </c>
      <c r="E537" s="39" t="str">
        <f>+_xlfn.XLOOKUP(A537,Hoja3!$C$3:$C$1124,Hoja3!$D$3:$D$1124)</f>
        <v>LEIVA</v>
      </c>
      <c r="F537" s="41">
        <v>44012</v>
      </c>
    </row>
    <row r="538" spans="1:6" x14ac:dyDescent="0.25">
      <c r="A538" s="37" t="s">
        <v>785</v>
      </c>
      <c r="B538" s="38" t="str">
        <f t="shared" si="16"/>
        <v>54</v>
      </c>
      <c r="C538" s="39" t="str">
        <f>+_xlfn.XLOOKUP(A538,Hoja3!$C$3:$C$1124,Hoja3!$B$3:$B$1124)</f>
        <v>NORTE DE SANTANDER</v>
      </c>
      <c r="D538" s="40" t="str">
        <f t="shared" si="17"/>
        <v>405</v>
      </c>
      <c r="E538" s="39" t="str">
        <f>+_xlfn.XLOOKUP(A538,Hoja3!$C$3:$C$1124,Hoja3!$D$3:$D$1124)</f>
        <v>LOS PATIOS</v>
      </c>
      <c r="F538" s="41">
        <v>43905</v>
      </c>
    </row>
    <row r="539" spans="1:6" x14ac:dyDescent="0.25">
      <c r="A539" s="37" t="s">
        <v>885</v>
      </c>
      <c r="B539" s="38" t="str">
        <f t="shared" si="16"/>
        <v>68</v>
      </c>
      <c r="C539" s="39" t="str">
        <f>+_xlfn.XLOOKUP(A539,Hoja3!$C$3:$C$1124,Hoja3!$B$3:$B$1124)</f>
        <v>SANTANDER</v>
      </c>
      <c r="D539" s="40" t="str">
        <f t="shared" si="17"/>
        <v>406</v>
      </c>
      <c r="E539" s="39" t="str">
        <f>+_xlfn.XLOOKUP(A539,Hoja3!$C$3:$C$1124,Hoja3!$D$3:$D$1124)</f>
        <v>LEBRIJA</v>
      </c>
      <c r="F539" s="41">
        <v>43966</v>
      </c>
    </row>
    <row r="540" spans="1:6" x14ac:dyDescent="0.25">
      <c r="A540" s="37" t="s">
        <v>2</v>
      </c>
      <c r="B540" s="38" t="str">
        <f t="shared" si="16"/>
        <v>91</v>
      </c>
      <c r="C540" s="39" t="str">
        <f>+_xlfn.XLOOKUP(A540,Hoja3!$C$3:$C$1124,Hoja3!$B$3:$B$1124)</f>
        <v>AMAZONAS</v>
      </c>
      <c r="D540" s="40" t="str">
        <f t="shared" si="17"/>
        <v>407</v>
      </c>
      <c r="E540" s="39" t="str">
        <f>+_xlfn.XLOOKUP(A540,Hoja3!$C$3:$C$1124,Hoja3!$D$3:$D$1124)</f>
        <v>LA PEDRERA</v>
      </c>
      <c r="F540" s="41">
        <v>44029</v>
      </c>
    </row>
    <row r="541" spans="1:6" x14ac:dyDescent="0.25">
      <c r="A541" s="37" t="s">
        <v>244</v>
      </c>
      <c r="B541" s="38" t="str">
        <f t="shared" si="16"/>
        <v>15</v>
      </c>
      <c r="C541" s="39" t="str">
        <f>+_xlfn.XLOOKUP(A541,Hoja3!$C$3:$C$1124,Hoja3!$B$3:$B$1124)</f>
        <v>BOYACÁ</v>
      </c>
      <c r="D541" s="40" t="str">
        <f t="shared" si="17"/>
        <v>407</v>
      </c>
      <c r="E541" s="39" t="str">
        <f>+_xlfn.XLOOKUP(A541,Hoja3!$C$3:$C$1124,Hoja3!$D$3:$D$1124)</f>
        <v>VILLA DE LEYVA</v>
      </c>
      <c r="F541" s="41">
        <v>43944</v>
      </c>
    </row>
    <row r="542" spans="1:6" x14ac:dyDescent="0.25">
      <c r="A542" s="37" t="s">
        <v>529</v>
      </c>
      <c r="B542" s="38" t="str">
        <f t="shared" si="16"/>
        <v>25</v>
      </c>
      <c r="C542" s="39" t="str">
        <f>+_xlfn.XLOOKUP(A542,Hoja3!$C$3:$C$1124,Hoja3!$B$3:$B$1124)</f>
        <v>CUNDINAMARCA</v>
      </c>
      <c r="D542" s="40" t="str">
        <f t="shared" si="17"/>
        <v>407</v>
      </c>
      <c r="E542" s="39" t="str">
        <f>+_xlfn.XLOOKUP(A542,Hoja3!$C$3:$C$1124,Hoja3!$D$3:$D$1124)</f>
        <v>LENGUAZAQUE</v>
      </c>
      <c r="F542" s="41">
        <v>43965</v>
      </c>
    </row>
    <row r="543" spans="1:6" x14ac:dyDescent="0.25">
      <c r="A543" s="37" t="s">
        <v>967</v>
      </c>
      <c r="B543" s="38" t="str">
        <f t="shared" si="16"/>
        <v>73</v>
      </c>
      <c r="C543" s="39" t="str">
        <f>+_xlfn.XLOOKUP(A543,Hoja3!$C$3:$C$1124,Hoja3!$B$3:$B$1124)</f>
        <v>TOLIMA</v>
      </c>
      <c r="D543" s="40" t="str">
        <f t="shared" si="17"/>
        <v>408</v>
      </c>
      <c r="E543" s="39" t="str">
        <f>+_xlfn.XLOOKUP(A543,Hoja3!$C$3:$C$1124,Hoja3!$D$3:$D$1124)</f>
        <v>LÉRIDA</v>
      </c>
      <c r="F543" s="41">
        <v>44001</v>
      </c>
    </row>
    <row r="544" spans="1:6" x14ac:dyDescent="0.25">
      <c r="A544" s="37" t="s">
        <v>339</v>
      </c>
      <c r="B544" s="38" t="str">
        <f t="shared" si="16"/>
        <v>18</v>
      </c>
      <c r="C544" s="39" t="str">
        <f>+_xlfn.XLOOKUP(A544,Hoja3!$C$3:$C$1124,Hoja3!$B$3:$B$1124)</f>
        <v>CAQUETÁ</v>
      </c>
      <c r="D544" s="40" t="str">
        <f t="shared" si="17"/>
        <v>410</v>
      </c>
      <c r="E544" s="39" t="str">
        <f>+_xlfn.XLOOKUP(A544,Hoja3!$C$3:$C$1124,Hoja3!$D$3:$D$1124)</f>
        <v>LA MONTAÑITA</v>
      </c>
      <c r="F544" s="41">
        <v>44017</v>
      </c>
    </row>
    <row r="545" spans="1:6" x14ac:dyDescent="0.25">
      <c r="A545" s="37" t="s">
        <v>360</v>
      </c>
      <c r="B545" s="38" t="str">
        <f t="shared" si="16"/>
        <v>85</v>
      </c>
      <c r="C545" s="39" t="str">
        <f>+_xlfn.XLOOKUP(A545,Hoja3!$C$3:$C$1124,Hoja3!$B$3:$B$1124)</f>
        <v>CASANARE</v>
      </c>
      <c r="D545" s="40" t="str">
        <f t="shared" si="17"/>
        <v>410</v>
      </c>
      <c r="E545" s="39" t="str">
        <f>+_xlfn.XLOOKUP(A545,Hoja3!$C$3:$C$1124,Hoja3!$D$3:$D$1124)</f>
        <v>TAURAMENA</v>
      </c>
      <c r="F545" s="41">
        <v>43959</v>
      </c>
    </row>
    <row r="546" spans="1:6" x14ac:dyDescent="0.25">
      <c r="A546" s="37" t="s">
        <v>72</v>
      </c>
      <c r="B546" s="38" t="str">
        <f t="shared" si="16"/>
        <v>05</v>
      </c>
      <c r="C546" s="39" t="str">
        <f>+_xlfn.XLOOKUP(A546,Hoja3!$C$3:$C$1124,Hoja3!$B$3:$B$1124)</f>
        <v>ANTIOQUIA</v>
      </c>
      <c r="D546" s="40" t="str">
        <f t="shared" si="17"/>
        <v>411</v>
      </c>
      <c r="E546" s="39" t="str">
        <f>+_xlfn.XLOOKUP(A546,Hoja3!$C$3:$C$1124,Hoja3!$D$3:$D$1124)</f>
        <v>LIBORINA</v>
      </c>
      <c r="F546" s="41">
        <v>44018</v>
      </c>
    </row>
    <row r="547" spans="1:6" x14ac:dyDescent="0.25">
      <c r="A547" s="37" t="s">
        <v>735</v>
      </c>
      <c r="B547" s="38" t="str">
        <f t="shared" si="16"/>
        <v>52</v>
      </c>
      <c r="C547" s="39" t="str">
        <f>+_xlfn.XLOOKUP(A547,Hoja3!$C$3:$C$1124,Hoja3!$B$3:$B$1124)</f>
        <v>NARIÑO</v>
      </c>
      <c r="D547" s="40" t="str">
        <f t="shared" si="17"/>
        <v>411</v>
      </c>
      <c r="E547" s="39" t="str">
        <f>+_xlfn.XLOOKUP(A547,Hoja3!$C$3:$C$1124,Hoja3!$D$3:$D$1124)</f>
        <v>LINARES</v>
      </c>
      <c r="F547" s="41">
        <v>43948</v>
      </c>
    </row>
    <row r="548" spans="1:6" x14ac:dyDescent="0.25">
      <c r="A548" s="37" t="s">
        <v>968</v>
      </c>
      <c r="B548" s="38" t="str">
        <f t="shared" si="16"/>
        <v>73</v>
      </c>
      <c r="C548" s="39" t="str">
        <f>+_xlfn.XLOOKUP(A548,Hoja3!$C$3:$C$1124,Hoja3!$B$3:$B$1124)</f>
        <v>TOLIMA</v>
      </c>
      <c r="D548" s="40" t="str">
        <f t="shared" si="17"/>
        <v>411</v>
      </c>
      <c r="E548" s="39" t="str">
        <f>+_xlfn.XLOOKUP(A548,Hoja3!$C$3:$C$1124,Hoja3!$D$3:$D$1124)</f>
        <v>LÍBANO</v>
      </c>
      <c r="F548" s="41">
        <v>43962</v>
      </c>
    </row>
    <row r="549" spans="1:6" x14ac:dyDescent="0.25">
      <c r="A549" s="37" t="s">
        <v>441</v>
      </c>
      <c r="B549" s="38" t="str">
        <f t="shared" si="16"/>
        <v>27</v>
      </c>
      <c r="C549" s="39" t="str">
        <f>+_xlfn.XLOOKUP(A549,Hoja3!$C$3:$C$1124,Hoja3!$B$3:$B$1124)</f>
        <v>CHOCÓ</v>
      </c>
      <c r="D549" s="40" t="str">
        <f t="shared" si="17"/>
        <v>413</v>
      </c>
      <c r="E549" s="39" t="str">
        <f>+_xlfn.XLOOKUP(A549,Hoja3!$C$3:$C$1124,Hoja3!$D$3:$D$1124)</f>
        <v>LLORÓ</v>
      </c>
      <c r="F549" s="41">
        <v>43983</v>
      </c>
    </row>
    <row r="550" spans="1:6" x14ac:dyDescent="0.25">
      <c r="A550" s="37" t="s">
        <v>462</v>
      </c>
      <c r="B550" s="38" t="str">
        <f t="shared" si="16"/>
        <v>23</v>
      </c>
      <c r="C550" s="39" t="str">
        <f>+_xlfn.XLOOKUP(A550,Hoja3!$C$3:$C$1124,Hoja3!$B$3:$B$1124)</f>
        <v>CÓRDOBA</v>
      </c>
      <c r="D550" s="40" t="str">
        <f t="shared" si="17"/>
        <v>417</v>
      </c>
      <c r="E550" s="39" t="str">
        <f>+_xlfn.XLOOKUP(A550,Hoja3!$C$3:$C$1124,Hoja3!$D$3:$D$1124)</f>
        <v>LORICA</v>
      </c>
      <c r="F550" s="41">
        <v>43933</v>
      </c>
    </row>
    <row r="551" spans="1:6" x14ac:dyDescent="0.25">
      <c r="A551" s="37" t="s">
        <v>379</v>
      </c>
      <c r="B551" s="38" t="str">
        <f t="shared" si="16"/>
        <v>19</v>
      </c>
      <c r="C551" s="39" t="str">
        <f>+_xlfn.XLOOKUP(A551,Hoja3!$C$3:$C$1124,Hoja3!$B$3:$B$1124)</f>
        <v>CAUCA</v>
      </c>
      <c r="D551" s="40" t="str">
        <f t="shared" si="17"/>
        <v>418</v>
      </c>
      <c r="E551" s="39" t="str">
        <f>+_xlfn.XLOOKUP(A551,Hoja3!$C$3:$C$1124,Hoja3!$D$3:$D$1124)</f>
        <v>LÓPEZ DE MICAY</v>
      </c>
      <c r="F551" s="41">
        <v>43941</v>
      </c>
    </row>
    <row r="552" spans="1:6" x14ac:dyDescent="0.25">
      <c r="A552" s="37" t="s">
        <v>736</v>
      </c>
      <c r="B552" s="38" t="str">
        <f t="shared" si="16"/>
        <v>52</v>
      </c>
      <c r="C552" s="39" t="str">
        <f>+_xlfn.XLOOKUP(A552,Hoja3!$C$3:$C$1124,Hoja3!$B$3:$B$1124)</f>
        <v>NARIÑO</v>
      </c>
      <c r="D552" s="40" t="str">
        <f t="shared" si="17"/>
        <v>418</v>
      </c>
      <c r="E552" s="39" t="str">
        <f>+_xlfn.XLOOKUP(A552,Hoja3!$C$3:$C$1124,Hoja3!$D$3:$D$1124)</f>
        <v>LOS ANDES</v>
      </c>
      <c r="F552" s="41">
        <v>44007</v>
      </c>
    </row>
    <row r="553" spans="1:6" x14ac:dyDescent="0.25">
      <c r="A553" s="37" t="s">
        <v>786</v>
      </c>
      <c r="B553" s="38" t="str">
        <f t="shared" si="16"/>
        <v>54</v>
      </c>
      <c r="C553" s="39" t="str">
        <f>+_xlfn.XLOOKUP(A553,Hoja3!$C$3:$C$1124,Hoja3!$B$3:$B$1124)</f>
        <v>NORTE DE SANTANDER</v>
      </c>
      <c r="D553" s="40" t="str">
        <f t="shared" si="17"/>
        <v>418</v>
      </c>
      <c r="E553" s="39" t="str">
        <f>+_xlfn.XLOOKUP(A553,Hoja3!$C$3:$C$1124,Hoja3!$D$3:$D$1124)</f>
        <v>LOURDES</v>
      </c>
      <c r="F553" s="41">
        <v>44033</v>
      </c>
    </row>
    <row r="554" spans="1:6" x14ac:dyDescent="0.25">
      <c r="A554" s="37" t="s">
        <v>886</v>
      </c>
      <c r="B554" s="38" t="str">
        <f t="shared" si="16"/>
        <v>68</v>
      </c>
      <c r="C554" s="39" t="str">
        <f>+_xlfn.XLOOKUP(A554,Hoja3!$C$3:$C$1124,Hoja3!$B$3:$B$1124)</f>
        <v>SANTANDER</v>
      </c>
      <c r="D554" s="40" t="str">
        <f t="shared" si="17"/>
        <v>418</v>
      </c>
      <c r="E554" s="39" t="str">
        <f>+_xlfn.XLOOKUP(A554,Hoja3!$C$3:$C$1124,Hoja3!$D$3:$D$1124)</f>
        <v>LOS SANTOS</v>
      </c>
      <c r="F554" s="41">
        <v>44013</v>
      </c>
    </row>
    <row r="555" spans="1:6" x14ac:dyDescent="0.25">
      <c r="A555" s="37" t="s">
        <v>930</v>
      </c>
      <c r="B555" s="38" t="str">
        <f t="shared" si="16"/>
        <v>70</v>
      </c>
      <c r="C555" s="39" t="str">
        <f>+_xlfn.XLOOKUP(A555,Hoja3!$C$3:$C$1124,Hoja3!$B$3:$B$1124)</f>
        <v>SUCRE</v>
      </c>
      <c r="D555" s="40" t="str">
        <f t="shared" si="17"/>
        <v>418</v>
      </c>
      <c r="E555" s="39" t="str">
        <f>+_xlfn.XLOOKUP(A555,Hoja3!$C$3:$C$1124,Hoja3!$D$3:$D$1124)</f>
        <v>LOS PALMITOS</v>
      </c>
      <c r="F555" s="41">
        <v>43958</v>
      </c>
    </row>
    <row r="556" spans="1:6" x14ac:dyDescent="0.25">
      <c r="A556" s="37" t="s">
        <v>463</v>
      </c>
      <c r="B556" s="38" t="str">
        <f t="shared" si="16"/>
        <v>23</v>
      </c>
      <c r="C556" s="39" t="str">
        <f>+_xlfn.XLOOKUP(A556,Hoja3!$C$3:$C$1124,Hoja3!$B$3:$B$1124)</f>
        <v>CÓRDOBA</v>
      </c>
      <c r="D556" s="40" t="str">
        <f t="shared" si="17"/>
        <v>419</v>
      </c>
      <c r="E556" s="39" t="str">
        <f>+_xlfn.XLOOKUP(A556,Hoja3!$C$3:$C$1124,Hoja3!$D$3:$D$1124)</f>
        <v>LOS CÓRDOBAS</v>
      </c>
      <c r="F556" s="41">
        <v>43963</v>
      </c>
    </row>
    <row r="557" spans="1:6" x14ac:dyDescent="0.25">
      <c r="A557" s="37" t="s">
        <v>640</v>
      </c>
      <c r="B557" s="38" t="str">
        <f t="shared" si="16"/>
        <v>44</v>
      </c>
      <c r="C557" s="39" t="str">
        <f>+_xlfn.XLOOKUP(A557,Hoja3!$C$3:$C$1124,Hoja3!$B$3:$B$1124)</f>
        <v>LA GUAJIRA</v>
      </c>
      <c r="D557" s="40" t="str">
        <f t="shared" si="17"/>
        <v>420</v>
      </c>
      <c r="E557" s="39" t="str">
        <f>+_xlfn.XLOOKUP(A557,Hoja3!$C$3:$C$1124,Hoja3!$D$3:$D$1124)</f>
        <v>LA JAGUA DEL PILAR</v>
      </c>
      <c r="F557" s="41">
        <v>44015</v>
      </c>
    </row>
    <row r="558" spans="1:6" x14ac:dyDescent="0.25">
      <c r="A558" s="37" t="s">
        <v>141</v>
      </c>
      <c r="B558" s="38" t="str">
        <f t="shared" si="16"/>
        <v>08</v>
      </c>
      <c r="C558" s="39" t="str">
        <f>+_xlfn.XLOOKUP(A558,Hoja3!$C$3:$C$1124,Hoja3!$B$3:$B$1124)</f>
        <v>ATLÁNTICO</v>
      </c>
      <c r="D558" s="40" t="str">
        <f t="shared" si="17"/>
        <v>421</v>
      </c>
      <c r="E558" s="39" t="str">
        <f>+_xlfn.XLOOKUP(A558,Hoja3!$C$3:$C$1124,Hoja3!$D$3:$D$1124)</f>
        <v>LURUACO</v>
      </c>
      <c r="F558" s="41">
        <v>43952</v>
      </c>
    </row>
    <row r="559" spans="1:6" x14ac:dyDescent="0.25">
      <c r="A559" s="37" t="s">
        <v>73</v>
      </c>
      <c r="B559" s="38" t="str">
        <f t="shared" si="16"/>
        <v>05</v>
      </c>
      <c r="C559" s="39" t="str">
        <f>+_xlfn.XLOOKUP(A559,Hoja3!$C$3:$C$1124,Hoja3!$B$3:$B$1124)</f>
        <v>ANTIOQUIA</v>
      </c>
      <c r="D559" s="40" t="str">
        <f t="shared" si="17"/>
        <v>425</v>
      </c>
      <c r="E559" s="39" t="str">
        <f>+_xlfn.XLOOKUP(A559,Hoja3!$C$3:$C$1124,Hoja3!$D$3:$D$1124)</f>
        <v>MACEO</v>
      </c>
      <c r="F559" s="41">
        <v>43971</v>
      </c>
    </row>
    <row r="560" spans="1:6" x14ac:dyDescent="0.25">
      <c r="A560" s="37" t="s">
        <v>245</v>
      </c>
      <c r="B560" s="38" t="str">
        <f t="shared" si="16"/>
        <v>15</v>
      </c>
      <c r="C560" s="39" t="str">
        <f>+_xlfn.XLOOKUP(A560,Hoja3!$C$3:$C$1124,Hoja3!$B$3:$B$1124)</f>
        <v>BOYACÁ</v>
      </c>
      <c r="D560" s="40" t="str">
        <f t="shared" si="17"/>
        <v>425</v>
      </c>
      <c r="E560" s="39" t="str">
        <f>+_xlfn.XLOOKUP(A560,Hoja3!$C$3:$C$1124,Hoja3!$D$3:$D$1124)</f>
        <v>MACANAL</v>
      </c>
      <c r="F560" s="41">
        <v>44066</v>
      </c>
    </row>
    <row r="561" spans="1:6" x14ac:dyDescent="0.25">
      <c r="A561" s="37" t="s">
        <v>887</v>
      </c>
      <c r="B561" s="38" t="str">
        <f t="shared" si="16"/>
        <v>68</v>
      </c>
      <c r="C561" s="39" t="str">
        <f>+_xlfn.XLOOKUP(A561,Hoja3!$C$3:$C$1124,Hoja3!$B$3:$B$1124)</f>
        <v>SANTANDER</v>
      </c>
      <c r="D561" s="40" t="str">
        <f t="shared" si="17"/>
        <v>425</v>
      </c>
      <c r="E561" s="39" t="str">
        <f>+_xlfn.XLOOKUP(A561,Hoja3!$C$3:$C$1124,Hoja3!$D$3:$D$1124)</f>
        <v>MACARAVITA</v>
      </c>
      <c r="F561" s="41">
        <v>44072</v>
      </c>
    </row>
    <row r="562" spans="1:6" x14ac:dyDescent="0.25">
      <c r="A562" s="38" t="s">
        <v>2040</v>
      </c>
      <c r="B562" s="38" t="str">
        <f t="shared" si="16"/>
        <v>27</v>
      </c>
      <c r="C562" s="39" t="str">
        <f>+_xlfn.XLOOKUP(A562,Hoja3!$C$3:$C$1124,Hoja3!$B$3:$B$1124)</f>
        <v>CHOCÓ</v>
      </c>
      <c r="D562" s="40" t="str">
        <f t="shared" si="17"/>
        <v>425</v>
      </c>
      <c r="E562" s="39" t="str">
        <f>+_xlfn.XLOOKUP(A562,Hoja3!$C$3:$C$1124,Hoja3!$D$3:$D$1124)</f>
        <v>MEDIO ATRATO</v>
      </c>
      <c r="F562" s="42">
        <v>45658</v>
      </c>
    </row>
    <row r="563" spans="1:6" x14ac:dyDescent="0.25">
      <c r="A563" s="37" t="s">
        <v>530</v>
      </c>
      <c r="B563" s="38" t="str">
        <f t="shared" si="16"/>
        <v>25</v>
      </c>
      <c r="C563" s="39" t="str">
        <f>+_xlfn.XLOOKUP(A563,Hoja3!$C$3:$C$1124,Hoja3!$B$3:$B$1124)</f>
        <v>CUNDINAMARCA</v>
      </c>
      <c r="D563" s="40" t="str">
        <f t="shared" si="17"/>
        <v>426</v>
      </c>
      <c r="E563" s="39" t="str">
        <f>+_xlfn.XLOOKUP(A563,Hoja3!$C$3:$C$1124,Hoja3!$D$3:$D$1124)</f>
        <v>MACHETÁ</v>
      </c>
      <c r="F563" s="41">
        <v>43976</v>
      </c>
    </row>
    <row r="564" spans="1:6" x14ac:dyDescent="0.25">
      <c r="A564" s="37" t="s">
        <v>737</v>
      </c>
      <c r="B564" s="38" t="str">
        <f t="shared" si="16"/>
        <v>52</v>
      </c>
      <c r="C564" s="39" t="str">
        <f>+_xlfn.XLOOKUP(A564,Hoja3!$C$3:$C$1124,Hoja3!$B$3:$B$1124)</f>
        <v>NARIÑO</v>
      </c>
      <c r="D564" s="40" t="str">
        <f t="shared" si="17"/>
        <v>427</v>
      </c>
      <c r="E564" s="39" t="str">
        <f>+_xlfn.XLOOKUP(A564,Hoja3!$C$3:$C$1124,Hoja3!$D$3:$D$1124)</f>
        <v>MAGÜÍ</v>
      </c>
      <c r="F564" s="41">
        <v>43945</v>
      </c>
    </row>
    <row r="565" spans="1:6" x14ac:dyDescent="0.25">
      <c r="A565" s="37" t="s">
        <v>931</v>
      </c>
      <c r="B565" s="38" t="str">
        <f t="shared" si="16"/>
        <v>70</v>
      </c>
      <c r="C565" s="39" t="str">
        <f>+_xlfn.XLOOKUP(A565,Hoja3!$C$3:$C$1124,Hoja3!$B$3:$B$1124)</f>
        <v>SUCRE</v>
      </c>
      <c r="D565" s="40" t="str">
        <f t="shared" si="17"/>
        <v>429</v>
      </c>
      <c r="E565" s="39" t="str">
        <f>+_xlfn.XLOOKUP(A565,Hoja3!$C$3:$C$1124,Hoja3!$D$3:$D$1124)</f>
        <v>MAJAGUAL</v>
      </c>
      <c r="F565" s="41">
        <v>43987</v>
      </c>
    </row>
    <row r="566" spans="1:6" x14ac:dyDescent="0.25">
      <c r="A566" s="37" t="s">
        <v>175</v>
      </c>
      <c r="B566" s="38" t="str">
        <f t="shared" si="16"/>
        <v>13</v>
      </c>
      <c r="C566" s="39" t="str">
        <f>+_xlfn.XLOOKUP(A566,Hoja3!$C$3:$C$1124,Hoja3!$B$3:$B$1124)</f>
        <v>BOLÍVAR</v>
      </c>
      <c r="D566" s="40" t="str">
        <f t="shared" si="17"/>
        <v>430</v>
      </c>
      <c r="E566" s="39" t="str">
        <f>+_xlfn.XLOOKUP(A566,Hoja3!$C$3:$C$1124,Hoja3!$D$3:$D$1124)</f>
        <v>MAGANGUÉ</v>
      </c>
      <c r="F566" s="41">
        <v>43951</v>
      </c>
    </row>
    <row r="567" spans="1:6" x14ac:dyDescent="0.25">
      <c r="A567" s="37" t="s">
        <v>361</v>
      </c>
      <c r="B567" s="38" t="str">
        <f t="shared" si="16"/>
        <v>85</v>
      </c>
      <c r="C567" s="39" t="str">
        <f>+_xlfn.XLOOKUP(A567,Hoja3!$C$3:$C$1124,Hoja3!$B$3:$B$1124)</f>
        <v>CASANARE</v>
      </c>
      <c r="D567" s="40" t="str">
        <f t="shared" si="17"/>
        <v>430</v>
      </c>
      <c r="E567" s="39" t="str">
        <f>+_xlfn.XLOOKUP(A567,Hoja3!$C$3:$C$1124,Hoja3!$D$3:$D$1124)</f>
        <v>TRINIDAD</v>
      </c>
      <c r="F567" s="41">
        <v>44029</v>
      </c>
    </row>
    <row r="568" spans="1:6" x14ac:dyDescent="0.25">
      <c r="A568" s="37" t="s">
        <v>442</v>
      </c>
      <c r="B568" s="38" t="str">
        <f t="shared" si="16"/>
        <v>27</v>
      </c>
      <c r="C568" s="39" t="str">
        <f>+_xlfn.XLOOKUP(A568,Hoja3!$C$3:$C$1124,Hoja3!$B$3:$B$1124)</f>
        <v>CHOCÓ</v>
      </c>
      <c r="D568" s="40" t="str">
        <f t="shared" si="17"/>
        <v>430</v>
      </c>
      <c r="E568" s="39" t="str">
        <f>+_xlfn.XLOOKUP(A568,Hoja3!$C$3:$C$1124,Hoja3!$D$3:$D$1124)</f>
        <v>MEDIO BAUDÓ</v>
      </c>
      <c r="F568" s="41">
        <v>43953</v>
      </c>
    </row>
    <row r="569" spans="1:6" x14ac:dyDescent="0.25">
      <c r="A569" s="37" t="s">
        <v>531</v>
      </c>
      <c r="B569" s="38" t="str">
        <f t="shared" si="16"/>
        <v>25</v>
      </c>
      <c r="C569" s="39" t="str">
        <f>+_xlfn.XLOOKUP(A569,Hoja3!$C$3:$C$1124,Hoja3!$B$3:$B$1124)</f>
        <v>CUNDINAMARCA</v>
      </c>
      <c r="D569" s="40" t="str">
        <f t="shared" si="17"/>
        <v>430</v>
      </c>
      <c r="E569" s="39" t="str">
        <f>+_xlfn.XLOOKUP(A569,Hoja3!$C$3:$C$1124,Hoja3!$D$3:$D$1124)</f>
        <v>MADRID</v>
      </c>
      <c r="F569" s="41">
        <v>43904</v>
      </c>
    </row>
    <row r="570" spans="1:6" x14ac:dyDescent="0.25">
      <c r="A570" s="37" t="s">
        <v>641</v>
      </c>
      <c r="B570" s="38" t="str">
        <f t="shared" si="16"/>
        <v>44</v>
      </c>
      <c r="C570" s="39" t="str">
        <f>+_xlfn.XLOOKUP(A570,Hoja3!$C$3:$C$1124,Hoja3!$B$3:$B$1124)</f>
        <v>LA GUAJIRA</v>
      </c>
      <c r="D570" s="40" t="str">
        <f t="shared" si="17"/>
        <v>430</v>
      </c>
      <c r="E570" s="39" t="str">
        <f>+_xlfn.XLOOKUP(A570,Hoja3!$C$3:$C$1124,Hoja3!$D$3:$D$1124)</f>
        <v>MAICAO</v>
      </c>
      <c r="F570" s="41">
        <v>43943</v>
      </c>
    </row>
    <row r="571" spans="1:6" x14ac:dyDescent="0.25">
      <c r="A571" s="38" t="s">
        <v>2044</v>
      </c>
      <c r="B571" s="38" t="str">
        <f t="shared" si="16"/>
        <v>91</v>
      </c>
      <c r="C571" s="39" t="str">
        <f>+_xlfn.XLOOKUP(A571,Hoja3!$C$3:$C$1124,Hoja3!$B$3:$B$1124)</f>
        <v>AMAZONAS</v>
      </c>
      <c r="D571" s="40" t="str">
        <f t="shared" si="17"/>
        <v>430</v>
      </c>
      <c r="E571" s="39" t="str">
        <f>+_xlfn.XLOOKUP(A571,Hoja3!$C$3:$C$1124,Hoja3!$D$3:$D$1124)</f>
        <v>LA VICTORIA</v>
      </c>
      <c r="F571" s="42">
        <v>45658</v>
      </c>
    </row>
    <row r="572" spans="1:6" x14ac:dyDescent="0.25">
      <c r="A572" s="37" t="s">
        <v>888</v>
      </c>
      <c r="B572" s="38" t="str">
        <f t="shared" si="16"/>
        <v>68</v>
      </c>
      <c r="C572" s="39" t="str">
        <f>+_xlfn.XLOOKUP(A572,Hoja3!$C$3:$C$1124,Hoja3!$B$3:$B$1124)</f>
        <v>SANTANDER</v>
      </c>
      <c r="D572" s="40" t="str">
        <f t="shared" si="17"/>
        <v>432</v>
      </c>
      <c r="E572" s="39" t="str">
        <f>+_xlfn.XLOOKUP(A572,Hoja3!$C$3:$C$1124,Hoja3!$D$3:$D$1124)</f>
        <v>MÁLAGA</v>
      </c>
      <c r="F572" s="41">
        <v>43991</v>
      </c>
    </row>
    <row r="573" spans="1:6" x14ac:dyDescent="0.25">
      <c r="A573" s="37" t="s">
        <v>142</v>
      </c>
      <c r="B573" s="38" t="str">
        <f t="shared" si="16"/>
        <v>08</v>
      </c>
      <c r="C573" s="39" t="str">
        <f>+_xlfn.XLOOKUP(A573,Hoja3!$C$3:$C$1124,Hoja3!$B$3:$B$1124)</f>
        <v>ATLÁNTICO</v>
      </c>
      <c r="D573" s="40" t="str">
        <f t="shared" si="17"/>
        <v>433</v>
      </c>
      <c r="E573" s="39" t="str">
        <f>+_xlfn.XLOOKUP(A573,Hoja3!$C$3:$C$1124,Hoja3!$D$3:$D$1124)</f>
        <v>MALAMBO</v>
      </c>
      <c r="F573" s="41">
        <v>43923</v>
      </c>
    </row>
    <row r="574" spans="1:6" x14ac:dyDescent="0.25">
      <c r="A574" s="37" t="s">
        <v>176</v>
      </c>
      <c r="B574" s="38" t="str">
        <f t="shared" si="16"/>
        <v>13</v>
      </c>
      <c r="C574" s="39" t="str">
        <f>+_xlfn.XLOOKUP(A574,Hoja3!$C$3:$C$1124,Hoja3!$B$3:$B$1124)</f>
        <v>BOLÍVAR</v>
      </c>
      <c r="D574" s="40" t="str">
        <f t="shared" si="17"/>
        <v>433</v>
      </c>
      <c r="E574" s="39" t="str">
        <f>+_xlfn.XLOOKUP(A574,Hoja3!$C$3:$C$1124,Hoja3!$D$3:$D$1124)</f>
        <v>MAHATES</v>
      </c>
      <c r="F574" s="41">
        <v>43970</v>
      </c>
    </row>
    <row r="575" spans="1:6" x14ac:dyDescent="0.25">
      <c r="A575" s="37" t="s">
        <v>315</v>
      </c>
      <c r="B575" s="38" t="str">
        <f t="shared" si="16"/>
        <v>17</v>
      </c>
      <c r="C575" s="39" t="str">
        <f>+_xlfn.XLOOKUP(A575,Hoja3!$C$3:$C$1124,Hoja3!$B$3:$B$1124)</f>
        <v>CALDAS</v>
      </c>
      <c r="D575" s="40" t="str">
        <f t="shared" si="17"/>
        <v>433</v>
      </c>
      <c r="E575" s="39" t="str">
        <f>+_xlfn.XLOOKUP(A575,Hoja3!$C$3:$C$1124,Hoja3!$D$3:$D$1124)</f>
        <v>MANZANARES</v>
      </c>
      <c r="F575" s="41">
        <v>43954</v>
      </c>
    </row>
    <row r="576" spans="1:6" x14ac:dyDescent="0.25">
      <c r="A576" s="37" t="s">
        <v>738</v>
      </c>
      <c r="B576" s="38" t="str">
        <f t="shared" si="16"/>
        <v>52</v>
      </c>
      <c r="C576" s="39" t="str">
        <f>+_xlfn.XLOOKUP(A576,Hoja3!$C$3:$C$1124,Hoja3!$B$3:$B$1124)</f>
        <v>NARIÑO</v>
      </c>
      <c r="D576" s="40" t="str">
        <f t="shared" si="17"/>
        <v>435</v>
      </c>
      <c r="E576" s="39" t="str">
        <f>+_xlfn.XLOOKUP(A576,Hoja3!$C$3:$C$1124,Hoja3!$D$3:$D$1124)</f>
        <v>MALLAMA</v>
      </c>
      <c r="F576" s="41">
        <v>43961</v>
      </c>
    </row>
    <row r="577" spans="1:6" x14ac:dyDescent="0.25">
      <c r="A577" s="37" t="s">
        <v>143</v>
      </c>
      <c r="B577" s="38" t="str">
        <f t="shared" si="16"/>
        <v>08</v>
      </c>
      <c r="C577" s="39" t="str">
        <f>+_xlfn.XLOOKUP(A577,Hoja3!$C$3:$C$1124,Hoja3!$B$3:$B$1124)</f>
        <v>ATLÁNTICO</v>
      </c>
      <c r="D577" s="40" t="str">
        <f t="shared" si="17"/>
        <v>436</v>
      </c>
      <c r="E577" s="39" t="str">
        <f>+_xlfn.XLOOKUP(A577,Hoja3!$C$3:$C$1124,Hoja3!$D$3:$D$1124)</f>
        <v>MANATÍ</v>
      </c>
      <c r="F577" s="41">
        <v>43937</v>
      </c>
    </row>
    <row r="578" spans="1:6" x14ac:dyDescent="0.25">
      <c r="A578" s="37" t="s">
        <v>532</v>
      </c>
      <c r="B578" s="38" t="str">
        <f t="shared" ref="B578:B641" si="18">MID(A578,1,2)</f>
        <v>25</v>
      </c>
      <c r="C578" s="39" t="str">
        <f>+_xlfn.XLOOKUP(A578,Hoja3!$C$3:$C$1124,Hoja3!$B$3:$B$1124)</f>
        <v>CUNDINAMARCA</v>
      </c>
      <c r="D578" s="40" t="str">
        <f t="shared" ref="D578:D641" si="19">MID(A578,3,3)</f>
        <v>436</v>
      </c>
      <c r="E578" s="39" t="str">
        <f>+_xlfn.XLOOKUP(A578,Hoja3!$C$3:$C$1124,Hoja3!$D$3:$D$1124)</f>
        <v>MANTA</v>
      </c>
      <c r="F578" s="41">
        <v>43968</v>
      </c>
    </row>
    <row r="579" spans="1:6" x14ac:dyDescent="0.25">
      <c r="A579" s="38" t="s">
        <v>2113</v>
      </c>
      <c r="B579" s="38" t="str">
        <f t="shared" si="18"/>
        <v>25</v>
      </c>
      <c r="C579" s="39" t="str">
        <f>+_xlfn.XLOOKUP(A579,Hoja3!$C$3:$C$1124,Hoja3!$B$3:$B$1124)</f>
        <v>CUNDINAMARCA</v>
      </c>
      <c r="D579" s="40" t="str">
        <f t="shared" si="19"/>
        <v>438</v>
      </c>
      <c r="E579" s="39" t="str">
        <f>+_xlfn.XLOOKUP(A579,Hoja3!$C$3:$C$1124,Hoja3!$D$3:$D$1124)</f>
        <v>MEDINA</v>
      </c>
      <c r="F579" s="42">
        <v>45658</v>
      </c>
    </row>
    <row r="580" spans="1:6" x14ac:dyDescent="0.25">
      <c r="A580" s="37" t="s">
        <v>74</v>
      </c>
      <c r="B580" s="38" t="str">
        <f t="shared" si="18"/>
        <v>05</v>
      </c>
      <c r="C580" s="39" t="str">
        <f>+_xlfn.XLOOKUP(A580,Hoja3!$C$3:$C$1124,Hoja3!$B$3:$B$1124)</f>
        <v>ANTIOQUIA</v>
      </c>
      <c r="D580" s="40" t="str">
        <f t="shared" si="19"/>
        <v>440</v>
      </c>
      <c r="E580" s="39" t="str">
        <f>+_xlfn.XLOOKUP(A580,Hoja3!$C$3:$C$1124,Hoja3!$D$3:$D$1124)</f>
        <v>MARINILLA</v>
      </c>
      <c r="F580" s="41">
        <v>43967</v>
      </c>
    </row>
    <row r="581" spans="1:6" x14ac:dyDescent="0.25">
      <c r="A581" s="37" t="s">
        <v>177</v>
      </c>
      <c r="B581" s="38" t="str">
        <f t="shared" si="18"/>
        <v>13</v>
      </c>
      <c r="C581" s="39" t="str">
        <f>+_xlfn.XLOOKUP(A581,Hoja3!$C$3:$C$1124,Hoja3!$B$3:$B$1124)</f>
        <v>BOLÍVAR</v>
      </c>
      <c r="D581" s="40" t="str">
        <f t="shared" si="19"/>
        <v>440</v>
      </c>
      <c r="E581" s="39" t="str">
        <f>+_xlfn.XLOOKUP(A581,Hoja3!$C$3:$C$1124,Hoja3!$D$3:$D$1124)</f>
        <v>MARGARITA</v>
      </c>
      <c r="F581" s="41">
        <v>44026</v>
      </c>
    </row>
    <row r="582" spans="1:6" x14ac:dyDescent="0.25">
      <c r="A582" s="37" t="s">
        <v>362</v>
      </c>
      <c r="B582" s="38" t="str">
        <f t="shared" si="18"/>
        <v>85</v>
      </c>
      <c r="C582" s="39" t="str">
        <f>+_xlfn.XLOOKUP(A582,Hoja3!$C$3:$C$1124,Hoja3!$B$3:$B$1124)</f>
        <v>CASANARE</v>
      </c>
      <c r="D582" s="40" t="str">
        <f t="shared" si="19"/>
        <v>440</v>
      </c>
      <c r="E582" s="39" t="str">
        <f>+_xlfn.XLOOKUP(A582,Hoja3!$C$3:$C$1124,Hoja3!$D$3:$D$1124)</f>
        <v>VILLANUEVA</v>
      </c>
      <c r="F582" s="41">
        <v>43955</v>
      </c>
    </row>
    <row r="583" spans="1:6" x14ac:dyDescent="0.25">
      <c r="A583" s="37" t="s">
        <v>836</v>
      </c>
      <c r="B583" s="38" t="str">
        <f t="shared" si="18"/>
        <v>66</v>
      </c>
      <c r="C583" s="39" t="str">
        <f>+_xlfn.XLOOKUP(A583,Hoja3!$C$3:$C$1124,Hoja3!$B$3:$B$1124)</f>
        <v>RISARALDA</v>
      </c>
      <c r="D583" s="40" t="str">
        <f t="shared" si="19"/>
        <v>440</v>
      </c>
      <c r="E583" s="39" t="str">
        <f>+_xlfn.XLOOKUP(A583,Hoja3!$C$3:$C$1124,Hoja3!$D$3:$D$1124)</f>
        <v>MARSELLA</v>
      </c>
      <c r="F583" s="41">
        <v>44008</v>
      </c>
    </row>
    <row r="584" spans="1:6" x14ac:dyDescent="0.25">
      <c r="A584" s="37" t="s">
        <v>316</v>
      </c>
      <c r="B584" s="38" t="str">
        <f t="shared" si="18"/>
        <v>17</v>
      </c>
      <c r="C584" s="39" t="str">
        <f>+_xlfn.XLOOKUP(A584,Hoja3!$C$3:$C$1124,Hoja3!$B$3:$B$1124)</f>
        <v>CALDAS</v>
      </c>
      <c r="D584" s="40" t="str">
        <f t="shared" si="19"/>
        <v>442</v>
      </c>
      <c r="E584" s="39" t="str">
        <f>+_xlfn.XLOOKUP(A584,Hoja3!$C$3:$C$1124,Hoja3!$D$3:$D$1124)</f>
        <v>MARMATO</v>
      </c>
      <c r="F584" s="41">
        <v>43943</v>
      </c>
    </row>
    <row r="585" spans="1:6" x14ac:dyDescent="0.25">
      <c r="A585" s="37" t="s">
        <v>178</v>
      </c>
      <c r="B585" s="38" t="str">
        <f t="shared" si="18"/>
        <v>13</v>
      </c>
      <c r="C585" s="39" t="str">
        <f>+_xlfn.XLOOKUP(A585,Hoja3!$C$3:$C$1124,Hoja3!$B$3:$B$1124)</f>
        <v>BOLÍVAR</v>
      </c>
      <c r="D585" s="40" t="str">
        <f t="shared" si="19"/>
        <v>442</v>
      </c>
      <c r="E585" s="39" t="str">
        <f>+_xlfn.XLOOKUP(A585,Hoja3!$C$3:$C$1124,Hoja3!$D$3:$D$1124)</f>
        <v>MARÍA LA BAJA</v>
      </c>
      <c r="F585" s="41">
        <v>43945</v>
      </c>
    </row>
    <row r="586" spans="1:6" x14ac:dyDescent="0.25">
      <c r="A586" s="37" t="s">
        <v>246</v>
      </c>
      <c r="B586" s="38" t="str">
        <f t="shared" si="18"/>
        <v>15</v>
      </c>
      <c r="C586" s="39" t="str">
        <f>+_xlfn.XLOOKUP(A586,Hoja3!$C$3:$C$1124,Hoja3!$B$3:$B$1124)</f>
        <v>BOYACÁ</v>
      </c>
      <c r="D586" s="40" t="str">
        <f t="shared" si="19"/>
        <v>442</v>
      </c>
      <c r="E586" s="39" t="str">
        <f>+_xlfn.XLOOKUP(A586,Hoja3!$C$3:$C$1124,Hoja3!$D$3:$D$1124)</f>
        <v>MARIPÍ</v>
      </c>
      <c r="F586" s="41">
        <v>44010</v>
      </c>
    </row>
    <row r="587" spans="1:6" x14ac:dyDescent="0.25">
      <c r="A587" s="37" t="s">
        <v>416</v>
      </c>
      <c r="B587" s="38" t="str">
        <f t="shared" si="18"/>
        <v>20</v>
      </c>
      <c r="C587" s="39" t="str">
        <f>+_xlfn.XLOOKUP(A587,Hoja3!$C$3:$C$1124,Hoja3!$B$3:$B$1124)</f>
        <v>CESAR</v>
      </c>
      <c r="D587" s="40" t="str">
        <f t="shared" si="19"/>
        <v>443</v>
      </c>
      <c r="E587" s="39" t="str">
        <f>+_xlfn.XLOOKUP(A587,Hoja3!$C$3:$C$1124,Hoja3!$D$3:$D$1124)</f>
        <v>MANAURE BALCÓN DEL CESAR</v>
      </c>
      <c r="F587" s="41">
        <v>43990</v>
      </c>
    </row>
    <row r="588" spans="1:6" x14ac:dyDescent="0.25">
      <c r="A588" s="37" t="s">
        <v>969</v>
      </c>
      <c r="B588" s="38" t="str">
        <f t="shared" si="18"/>
        <v>73</v>
      </c>
      <c r="C588" s="39" t="str">
        <f>+_xlfn.XLOOKUP(A588,Hoja3!$C$3:$C$1124,Hoja3!$B$3:$B$1124)</f>
        <v>TOLIMA</v>
      </c>
      <c r="D588" s="40" t="str">
        <f t="shared" si="19"/>
        <v>443</v>
      </c>
      <c r="E588" s="39" t="str">
        <f>+_xlfn.XLOOKUP(A588,Hoja3!$C$3:$C$1124,Hoja3!$D$3:$D$1124)</f>
        <v>SAN SEBASTIÁN DE MARIQUITA</v>
      </c>
      <c r="F588" s="41">
        <v>43967</v>
      </c>
    </row>
    <row r="589" spans="1:6" x14ac:dyDescent="0.25">
      <c r="A589" s="37" t="s">
        <v>317</v>
      </c>
      <c r="B589" s="38" t="str">
        <f t="shared" si="18"/>
        <v>17</v>
      </c>
      <c r="C589" s="39" t="str">
        <f>+_xlfn.XLOOKUP(A589,Hoja3!$C$3:$C$1124,Hoja3!$B$3:$B$1124)</f>
        <v>CALDAS</v>
      </c>
      <c r="D589" s="40" t="str">
        <f t="shared" si="19"/>
        <v>444</v>
      </c>
      <c r="E589" s="39" t="str">
        <f>+_xlfn.XLOOKUP(A589,Hoja3!$C$3:$C$1124,Hoja3!$D$3:$D$1124)</f>
        <v>MARQUETALIA</v>
      </c>
      <c r="F589" s="41">
        <v>43948</v>
      </c>
    </row>
    <row r="590" spans="1:6" x14ac:dyDescent="0.25">
      <c r="A590" s="37" t="s">
        <v>889</v>
      </c>
      <c r="B590" s="38" t="str">
        <f t="shared" si="18"/>
        <v>68</v>
      </c>
      <c r="C590" s="39" t="str">
        <f>+_xlfn.XLOOKUP(A590,Hoja3!$C$3:$C$1124,Hoja3!$B$3:$B$1124)</f>
        <v>SANTANDER</v>
      </c>
      <c r="D590" s="40" t="str">
        <f t="shared" si="19"/>
        <v>444</v>
      </c>
      <c r="E590" s="39" t="str">
        <f>+_xlfn.XLOOKUP(A590,Hoja3!$C$3:$C$1124,Hoja3!$D$3:$D$1124)</f>
        <v>MATANZA</v>
      </c>
      <c r="F590" s="41">
        <v>44018</v>
      </c>
    </row>
    <row r="591" spans="1:6" x14ac:dyDescent="0.25">
      <c r="A591" s="37" t="s">
        <v>318</v>
      </c>
      <c r="B591" s="38" t="str">
        <f t="shared" si="18"/>
        <v>17</v>
      </c>
      <c r="C591" s="39" t="str">
        <f>+_xlfn.XLOOKUP(A591,Hoja3!$C$3:$C$1124,Hoja3!$B$3:$B$1124)</f>
        <v>CALDAS</v>
      </c>
      <c r="D591" s="40" t="str">
        <f t="shared" si="19"/>
        <v>446</v>
      </c>
      <c r="E591" s="39" t="str">
        <f>+_xlfn.XLOOKUP(A591,Hoja3!$C$3:$C$1124,Hoja3!$D$3:$D$1124)</f>
        <v>MARULANDA</v>
      </c>
      <c r="F591" s="41">
        <v>44076</v>
      </c>
    </row>
    <row r="592" spans="1:6" x14ac:dyDescent="0.25">
      <c r="A592" s="37" t="s">
        <v>970</v>
      </c>
      <c r="B592" s="38" t="str">
        <f t="shared" si="18"/>
        <v>73</v>
      </c>
      <c r="C592" s="39" t="str">
        <f>+_xlfn.XLOOKUP(A592,Hoja3!$C$3:$C$1124,Hoja3!$B$3:$B$1124)</f>
        <v>TOLIMA</v>
      </c>
      <c r="D592" s="40" t="str">
        <f t="shared" si="19"/>
        <v>449</v>
      </c>
      <c r="E592" s="39" t="str">
        <f>+_xlfn.XLOOKUP(A592,Hoja3!$C$3:$C$1124,Hoja3!$D$3:$D$1124)</f>
        <v>MELGAR</v>
      </c>
      <c r="F592" s="41">
        <v>43893</v>
      </c>
    </row>
    <row r="593" spans="1:6" x14ac:dyDescent="0.25">
      <c r="A593" s="37" t="s">
        <v>380</v>
      </c>
      <c r="B593" s="38" t="str">
        <f t="shared" si="18"/>
        <v>19</v>
      </c>
      <c r="C593" s="39" t="str">
        <f>+_xlfn.XLOOKUP(A593,Hoja3!$C$3:$C$1124,Hoja3!$B$3:$B$1124)</f>
        <v>CAUCA</v>
      </c>
      <c r="D593" s="40" t="str">
        <f t="shared" si="19"/>
        <v>450</v>
      </c>
      <c r="E593" s="39" t="str">
        <f>+_xlfn.XLOOKUP(A593,Hoja3!$C$3:$C$1124,Hoja3!$D$3:$D$1124)</f>
        <v>MERCADERES</v>
      </c>
      <c r="F593" s="41">
        <v>43993</v>
      </c>
    </row>
    <row r="594" spans="1:6" x14ac:dyDescent="0.25">
      <c r="A594" s="37" t="s">
        <v>443</v>
      </c>
      <c r="B594" s="38" t="str">
        <f t="shared" si="18"/>
        <v>27</v>
      </c>
      <c r="C594" s="39" t="str">
        <f>+_xlfn.XLOOKUP(A594,Hoja3!$C$3:$C$1124,Hoja3!$B$3:$B$1124)</f>
        <v>CHOCÓ</v>
      </c>
      <c r="D594" s="40" t="str">
        <f t="shared" si="19"/>
        <v>450</v>
      </c>
      <c r="E594" s="39" t="str">
        <f>+_xlfn.XLOOKUP(A594,Hoja3!$C$3:$C$1124,Hoja3!$D$3:$D$1124)</f>
        <v>MEDIO SAN JUAN</v>
      </c>
      <c r="F594" s="41">
        <v>43998</v>
      </c>
    </row>
    <row r="595" spans="1:6" x14ac:dyDescent="0.25">
      <c r="A595" s="37" t="s">
        <v>693</v>
      </c>
      <c r="B595" s="38" t="str">
        <f t="shared" si="18"/>
        <v>50</v>
      </c>
      <c r="C595" s="39" t="str">
        <f>+_xlfn.XLOOKUP(A595,Hoja3!$C$3:$C$1124,Hoja3!$B$3:$B$1124)</f>
        <v>META</v>
      </c>
      <c r="D595" s="40" t="str">
        <f t="shared" si="19"/>
        <v>450</v>
      </c>
      <c r="E595" s="39" t="str">
        <f>+_xlfn.XLOOKUP(A595,Hoja3!$C$3:$C$1124,Hoja3!$D$3:$D$1124)</f>
        <v>PUERTO CONCORDIA</v>
      </c>
      <c r="F595" s="41">
        <v>44052</v>
      </c>
    </row>
    <row r="596" spans="1:6" x14ac:dyDescent="0.25">
      <c r="A596" s="37" t="s">
        <v>247</v>
      </c>
      <c r="B596" s="38" t="str">
        <f t="shared" si="18"/>
        <v>15</v>
      </c>
      <c r="C596" s="39" t="str">
        <f>+_xlfn.XLOOKUP(A596,Hoja3!$C$3:$C$1124,Hoja3!$B$3:$B$1124)</f>
        <v>BOYACÁ</v>
      </c>
      <c r="D596" s="40" t="str">
        <f t="shared" si="19"/>
        <v>455</v>
      </c>
      <c r="E596" s="39" t="str">
        <f>+_xlfn.XLOOKUP(A596,Hoja3!$C$3:$C$1124,Hoja3!$D$3:$D$1124)</f>
        <v>MIRAFLORES</v>
      </c>
      <c r="F596" s="41">
        <v>43956</v>
      </c>
    </row>
    <row r="597" spans="1:6" x14ac:dyDescent="0.25">
      <c r="A597" s="37" t="s">
        <v>381</v>
      </c>
      <c r="B597" s="38" t="str">
        <f t="shared" si="18"/>
        <v>19</v>
      </c>
      <c r="C597" s="39" t="str">
        <f>+_xlfn.XLOOKUP(A597,Hoja3!$C$3:$C$1124,Hoja3!$B$3:$B$1124)</f>
        <v>CAUCA</v>
      </c>
      <c r="D597" s="40" t="str">
        <f t="shared" si="19"/>
        <v>455</v>
      </c>
      <c r="E597" s="39" t="str">
        <f>+_xlfn.XLOOKUP(A597,Hoja3!$C$3:$C$1124,Hoja3!$D$3:$D$1124)</f>
        <v>MIRANDA</v>
      </c>
      <c r="F597" s="41">
        <v>43915</v>
      </c>
    </row>
    <row r="598" spans="1:6" x14ac:dyDescent="0.25">
      <c r="A598" s="37" t="s">
        <v>837</v>
      </c>
      <c r="B598" s="38" t="str">
        <f t="shared" si="18"/>
        <v>66</v>
      </c>
      <c r="C598" s="39" t="str">
        <f>+_xlfn.XLOOKUP(A598,Hoja3!$C$3:$C$1124,Hoja3!$B$3:$B$1124)</f>
        <v>RISARALDA</v>
      </c>
      <c r="D598" s="40" t="str">
        <f t="shared" si="19"/>
        <v>456</v>
      </c>
      <c r="E598" s="39" t="str">
        <f>+_xlfn.XLOOKUP(A598,Hoja3!$C$3:$C$1124,Hoja3!$D$3:$D$1124)</f>
        <v>MISTRATÓ</v>
      </c>
      <c r="F598" s="41">
        <v>44047</v>
      </c>
    </row>
    <row r="599" spans="1:6" x14ac:dyDescent="0.25">
      <c r="A599" s="37" t="s">
        <v>179</v>
      </c>
      <c r="B599" s="38" t="str">
        <f t="shared" si="18"/>
        <v>13</v>
      </c>
      <c r="C599" s="39" t="str">
        <f>+_xlfn.XLOOKUP(A599,Hoja3!$C$3:$C$1124,Hoja3!$B$3:$B$1124)</f>
        <v>BOLÍVAR</v>
      </c>
      <c r="D599" s="40" t="str">
        <f t="shared" si="19"/>
        <v>458</v>
      </c>
      <c r="E599" s="39" t="str">
        <f>+_xlfn.XLOOKUP(A599,Hoja3!$C$3:$C$1124,Hoja3!$D$3:$D$1124)</f>
        <v>MONTECRISTO</v>
      </c>
      <c r="F599" s="41">
        <v>44000</v>
      </c>
    </row>
    <row r="600" spans="1:6" x14ac:dyDescent="0.25">
      <c r="A600" s="37" t="s">
        <v>340</v>
      </c>
      <c r="B600" s="38" t="str">
        <f t="shared" si="18"/>
        <v>18</v>
      </c>
      <c r="C600" s="39" t="str">
        <f>+_xlfn.XLOOKUP(A600,Hoja3!$C$3:$C$1124,Hoja3!$B$3:$B$1124)</f>
        <v>CAQUETÁ</v>
      </c>
      <c r="D600" s="40" t="str">
        <f t="shared" si="19"/>
        <v>460</v>
      </c>
      <c r="E600" s="39" t="str">
        <f>+_xlfn.XLOOKUP(A600,Hoja3!$C$3:$C$1124,Hoja3!$D$3:$D$1124)</f>
        <v>MILÁN</v>
      </c>
      <c r="F600" s="41">
        <v>44029</v>
      </c>
    </row>
    <row r="601" spans="1:6" x14ac:dyDescent="0.25">
      <c r="A601" s="37" t="s">
        <v>659</v>
      </c>
      <c r="B601" s="38" t="str">
        <f t="shared" si="18"/>
        <v>47</v>
      </c>
      <c r="C601" s="39" t="str">
        <f>+_xlfn.XLOOKUP(A601,Hoja3!$C$3:$C$1124,Hoja3!$B$3:$B$1124)</f>
        <v>MAGDALENA</v>
      </c>
      <c r="D601" s="40" t="str">
        <f t="shared" si="19"/>
        <v>460</v>
      </c>
      <c r="E601" s="39" t="str">
        <f>+_xlfn.XLOOKUP(A601,Hoja3!$C$3:$C$1124,Hoja3!$D$3:$D$1124)</f>
        <v>NUEVA GRANADA</v>
      </c>
      <c r="F601" s="41">
        <v>44007</v>
      </c>
    </row>
    <row r="602" spans="1:6" x14ac:dyDescent="0.25">
      <c r="A602" s="38" t="s">
        <v>2048</v>
      </c>
      <c r="B602" s="38" t="str">
        <f t="shared" si="18"/>
        <v>91</v>
      </c>
      <c r="C602" s="39" t="str">
        <f>+_xlfn.XLOOKUP(A602,Hoja3!$C$3:$C$1124,Hoja3!$B$3:$B$1124)</f>
        <v>AMAZONAS</v>
      </c>
      <c r="D602" s="40" t="str">
        <f t="shared" si="19"/>
        <v>460</v>
      </c>
      <c r="E602" s="39" t="str">
        <f>+_xlfn.XLOOKUP(A602,Hoja3!$C$3:$C$1124,Hoja3!$D$3:$D$1124)</f>
        <v>MIRITÍ - PARANÁ</v>
      </c>
      <c r="F602" s="42">
        <v>45658</v>
      </c>
    </row>
    <row r="603" spans="1:6" x14ac:dyDescent="0.25">
      <c r="A603" s="38" t="s">
        <v>2089</v>
      </c>
      <c r="B603" s="38" t="str">
        <f t="shared" si="18"/>
        <v>73</v>
      </c>
      <c r="C603" s="39" t="str">
        <f>+_xlfn.XLOOKUP(A603,Hoja3!$C$3:$C$1124,Hoja3!$B$3:$B$1124)</f>
        <v>TOLIMA</v>
      </c>
      <c r="D603" s="40" t="str">
        <f t="shared" si="19"/>
        <v>461</v>
      </c>
      <c r="E603" s="39" t="str">
        <f>+_xlfn.XLOOKUP(A603,Hoja3!$C$3:$C$1124,Hoja3!$D$3:$D$1124)</f>
        <v>MURILLO</v>
      </c>
      <c r="F603" s="42">
        <v>45658</v>
      </c>
    </row>
    <row r="604" spans="1:6" x14ac:dyDescent="0.25">
      <c r="A604" s="37" t="s">
        <v>248</v>
      </c>
      <c r="B604" s="38" t="str">
        <f t="shared" si="18"/>
        <v>15</v>
      </c>
      <c r="C604" s="39" t="str">
        <f>+_xlfn.XLOOKUP(A604,Hoja3!$C$3:$C$1124,Hoja3!$B$3:$B$1124)</f>
        <v>BOYACÁ</v>
      </c>
      <c r="D604" s="40" t="str">
        <f t="shared" si="19"/>
        <v>464</v>
      </c>
      <c r="E604" s="39" t="str">
        <f>+_xlfn.XLOOKUP(A604,Hoja3!$C$3:$C$1124,Hoja3!$D$3:$D$1124)</f>
        <v>MONGUA</v>
      </c>
      <c r="F604" s="41">
        <v>44071</v>
      </c>
    </row>
    <row r="605" spans="1:6" x14ac:dyDescent="0.25">
      <c r="A605" s="37" t="s">
        <v>464</v>
      </c>
      <c r="B605" s="38" t="str">
        <f t="shared" si="18"/>
        <v>23</v>
      </c>
      <c r="C605" s="39" t="str">
        <f>+_xlfn.XLOOKUP(A605,Hoja3!$C$3:$C$1124,Hoja3!$B$3:$B$1124)</f>
        <v>CÓRDOBA</v>
      </c>
      <c r="D605" s="40" t="str">
        <f t="shared" si="19"/>
        <v>464</v>
      </c>
      <c r="E605" s="39" t="str">
        <f>+_xlfn.XLOOKUP(A605,Hoja3!$C$3:$C$1124,Hoja3!$D$3:$D$1124)</f>
        <v>MOMIL</v>
      </c>
      <c r="F605" s="41">
        <v>44004</v>
      </c>
    </row>
    <row r="606" spans="1:6" x14ac:dyDescent="0.25">
      <c r="A606" s="37" t="s">
        <v>890</v>
      </c>
      <c r="B606" s="38" t="str">
        <f t="shared" si="18"/>
        <v>68</v>
      </c>
      <c r="C606" s="39" t="str">
        <f>+_xlfn.XLOOKUP(A606,Hoja3!$C$3:$C$1124,Hoja3!$B$3:$B$1124)</f>
        <v>SANTANDER</v>
      </c>
      <c r="D606" s="40" t="str">
        <f t="shared" si="19"/>
        <v>464</v>
      </c>
      <c r="E606" s="39" t="str">
        <f>+_xlfn.XLOOKUP(A606,Hoja3!$C$3:$C$1124,Hoja3!$D$3:$D$1124)</f>
        <v>MOGOTES</v>
      </c>
      <c r="F606" s="41">
        <v>44014</v>
      </c>
    </row>
    <row r="607" spans="1:6" x14ac:dyDescent="0.25">
      <c r="A607" s="37" t="s">
        <v>249</v>
      </c>
      <c r="B607" s="38" t="str">
        <f t="shared" si="18"/>
        <v>15</v>
      </c>
      <c r="C607" s="39" t="str">
        <f>+_xlfn.XLOOKUP(A607,Hoja3!$C$3:$C$1124,Hoja3!$B$3:$B$1124)</f>
        <v>BOYACÁ</v>
      </c>
      <c r="D607" s="40" t="str">
        <f t="shared" si="19"/>
        <v>466</v>
      </c>
      <c r="E607" s="39" t="str">
        <f>+_xlfn.XLOOKUP(A607,Hoja3!$C$3:$C$1124,Hoja3!$D$3:$D$1124)</f>
        <v>MONGUÍ</v>
      </c>
      <c r="F607" s="41">
        <v>44022</v>
      </c>
    </row>
    <row r="608" spans="1:6" x14ac:dyDescent="0.25">
      <c r="A608" s="37" t="s">
        <v>465</v>
      </c>
      <c r="B608" s="38" t="str">
        <f t="shared" si="18"/>
        <v>23</v>
      </c>
      <c r="C608" s="39" t="str">
        <f>+_xlfn.XLOOKUP(A608,Hoja3!$C$3:$C$1124,Hoja3!$B$3:$B$1124)</f>
        <v>CÓRDOBA</v>
      </c>
      <c r="D608" s="40" t="str">
        <f t="shared" si="19"/>
        <v>466</v>
      </c>
      <c r="E608" s="39" t="str">
        <f>+_xlfn.XLOOKUP(A608,Hoja3!$C$3:$C$1124,Hoja3!$D$3:$D$1124)</f>
        <v>MONTELÍBANO</v>
      </c>
      <c r="F608" s="41">
        <v>43955</v>
      </c>
    </row>
    <row r="609" spans="1:6" x14ac:dyDescent="0.25">
      <c r="A609" s="37" t="s">
        <v>75</v>
      </c>
      <c r="B609" s="38" t="str">
        <f t="shared" si="18"/>
        <v>05</v>
      </c>
      <c r="C609" s="39" t="str">
        <f>+_xlfn.XLOOKUP(A609,Hoja3!$C$3:$C$1124,Hoja3!$B$3:$B$1124)</f>
        <v>ANTIOQUIA</v>
      </c>
      <c r="D609" s="40" t="str">
        <f t="shared" si="19"/>
        <v>467</v>
      </c>
      <c r="E609" s="39" t="str">
        <f>+_xlfn.XLOOKUP(A609,Hoja3!$C$3:$C$1124,Hoja3!$D$3:$D$1124)</f>
        <v>MONTEBELLO</v>
      </c>
      <c r="F609" s="41">
        <v>43909</v>
      </c>
    </row>
    <row r="610" spans="1:6" x14ac:dyDescent="0.25">
      <c r="A610" s="37" t="s">
        <v>180</v>
      </c>
      <c r="B610" s="38" t="str">
        <f t="shared" si="18"/>
        <v>13</v>
      </c>
      <c r="C610" s="39" t="str">
        <f>+_xlfn.XLOOKUP(A610,Hoja3!$C$3:$C$1124,Hoja3!$B$3:$B$1124)</f>
        <v>BOLÍVAR</v>
      </c>
      <c r="D610" s="40" t="str">
        <f t="shared" si="19"/>
        <v>468</v>
      </c>
      <c r="E610" s="39" t="str">
        <f>+_xlfn.XLOOKUP(A610,Hoja3!$C$3:$C$1124,Hoja3!$D$3:$D$1124)</f>
        <v>SANTA CRUZ DE MOMPOX</v>
      </c>
      <c r="F610" s="41">
        <v>43966</v>
      </c>
    </row>
    <row r="611" spans="1:6" x14ac:dyDescent="0.25">
      <c r="A611" s="37" t="s">
        <v>891</v>
      </c>
      <c r="B611" s="38" t="str">
        <f t="shared" si="18"/>
        <v>68</v>
      </c>
      <c r="C611" s="39" t="str">
        <f>+_xlfn.XLOOKUP(A611,Hoja3!$C$3:$C$1124,Hoja3!$B$3:$B$1124)</f>
        <v>SANTANDER</v>
      </c>
      <c r="D611" s="40" t="str">
        <f t="shared" si="19"/>
        <v>468</v>
      </c>
      <c r="E611" s="39" t="str">
        <f>+_xlfn.XLOOKUP(A611,Hoja3!$C$3:$C$1124,Hoja3!$D$3:$D$1124)</f>
        <v>MOLAGAVITA</v>
      </c>
      <c r="F611" s="41">
        <v>44041</v>
      </c>
    </row>
    <row r="612" spans="1:6" x14ac:dyDescent="0.25">
      <c r="A612" s="37" t="s">
        <v>250</v>
      </c>
      <c r="B612" s="38" t="str">
        <f t="shared" si="18"/>
        <v>15</v>
      </c>
      <c r="C612" s="39" t="str">
        <f>+_xlfn.XLOOKUP(A612,Hoja3!$C$3:$C$1124,Hoja3!$B$3:$B$1124)</f>
        <v>BOYACÁ</v>
      </c>
      <c r="D612" s="40" t="str">
        <f t="shared" si="19"/>
        <v>469</v>
      </c>
      <c r="E612" s="39" t="str">
        <f>+_xlfn.XLOOKUP(A612,Hoja3!$C$3:$C$1124,Hoja3!$D$3:$D$1124)</f>
        <v>MONIQUIRÁ</v>
      </c>
      <c r="F612" s="41">
        <v>43941</v>
      </c>
    </row>
    <row r="613" spans="1:6" x14ac:dyDescent="0.25">
      <c r="A613" s="37" t="s">
        <v>824</v>
      </c>
      <c r="B613" s="38" t="str">
        <f t="shared" si="18"/>
        <v>63</v>
      </c>
      <c r="C613" s="39" t="str">
        <f>+_xlfn.XLOOKUP(A613,Hoja3!$C$3:$C$1124,Hoja3!$B$3:$B$1124)</f>
        <v>QUINDÍO</v>
      </c>
      <c r="D613" s="40" t="str">
        <f t="shared" si="19"/>
        <v>470</v>
      </c>
      <c r="E613" s="39" t="str">
        <f>+_xlfn.XLOOKUP(A613,Hoja3!$C$3:$C$1124,Hoja3!$D$3:$D$1124)</f>
        <v>MONTENEGRO</v>
      </c>
      <c r="F613" s="41">
        <v>43903</v>
      </c>
    </row>
    <row r="614" spans="1:6" x14ac:dyDescent="0.25">
      <c r="A614" s="37" t="s">
        <v>181</v>
      </c>
      <c r="B614" s="38" t="str">
        <f t="shared" si="18"/>
        <v>13</v>
      </c>
      <c r="C614" s="39" t="str">
        <f>+_xlfn.XLOOKUP(A614,Hoja3!$C$3:$C$1124,Hoja3!$B$3:$B$1124)</f>
        <v>BOLÍVAR</v>
      </c>
      <c r="D614" s="40" t="str">
        <f t="shared" si="19"/>
        <v>473</v>
      </c>
      <c r="E614" s="39" t="str">
        <f>+_xlfn.XLOOKUP(A614,Hoja3!$C$3:$C$1124,Hoja3!$D$3:$D$1124)</f>
        <v>MORALES</v>
      </c>
      <c r="F614" s="41">
        <v>43999</v>
      </c>
    </row>
    <row r="615" spans="1:6" x14ac:dyDescent="0.25">
      <c r="A615" s="37" t="s">
        <v>382</v>
      </c>
      <c r="B615" s="38" t="str">
        <f t="shared" si="18"/>
        <v>19</v>
      </c>
      <c r="C615" s="39" t="str">
        <f>+_xlfn.XLOOKUP(A615,Hoja3!$C$3:$C$1124,Hoja3!$B$3:$B$1124)</f>
        <v>CAUCA</v>
      </c>
      <c r="D615" s="40" t="str">
        <f t="shared" si="19"/>
        <v>473</v>
      </c>
      <c r="E615" s="39" t="str">
        <f>+_xlfn.XLOOKUP(A615,Hoja3!$C$3:$C$1124,Hoja3!$D$3:$D$1124)</f>
        <v>MORALES</v>
      </c>
      <c r="F615" s="41">
        <v>44010</v>
      </c>
    </row>
    <row r="616" spans="1:6" x14ac:dyDescent="0.25">
      <c r="A616" s="37" t="s">
        <v>533</v>
      </c>
      <c r="B616" s="38" t="str">
        <f t="shared" si="18"/>
        <v>25</v>
      </c>
      <c r="C616" s="39" t="str">
        <f>+_xlfn.XLOOKUP(A616,Hoja3!$C$3:$C$1124,Hoja3!$B$3:$B$1124)</f>
        <v>CUNDINAMARCA</v>
      </c>
      <c r="D616" s="40" t="str">
        <f t="shared" si="19"/>
        <v>473</v>
      </c>
      <c r="E616" s="39" t="str">
        <f>+_xlfn.XLOOKUP(A616,Hoja3!$C$3:$C$1124,Hoja3!$D$3:$D$1124)</f>
        <v>MOSQUERA</v>
      </c>
      <c r="F616" s="41">
        <v>43906</v>
      </c>
    </row>
    <row r="617" spans="1:6" x14ac:dyDescent="0.25">
      <c r="A617" s="37" t="s">
        <v>739</v>
      </c>
      <c r="B617" s="38" t="str">
        <f t="shared" si="18"/>
        <v>52</v>
      </c>
      <c r="C617" s="39" t="str">
        <f>+_xlfn.XLOOKUP(A617,Hoja3!$C$3:$C$1124,Hoja3!$B$3:$B$1124)</f>
        <v>NARIÑO</v>
      </c>
      <c r="D617" s="40" t="str">
        <f t="shared" si="19"/>
        <v>473</v>
      </c>
      <c r="E617" s="39" t="str">
        <f>+_xlfn.XLOOKUP(A617,Hoja3!$C$3:$C$1124,Hoja3!$D$3:$D$1124)</f>
        <v>MOSQUERA</v>
      </c>
      <c r="F617" s="41">
        <v>43936</v>
      </c>
    </row>
    <row r="618" spans="1:6" x14ac:dyDescent="0.25">
      <c r="A618" s="37" t="s">
        <v>932</v>
      </c>
      <c r="B618" s="38" t="str">
        <f t="shared" si="18"/>
        <v>70</v>
      </c>
      <c r="C618" s="39" t="str">
        <f>+_xlfn.XLOOKUP(A618,Hoja3!$C$3:$C$1124,Hoja3!$B$3:$B$1124)</f>
        <v>SUCRE</v>
      </c>
      <c r="D618" s="40" t="str">
        <f t="shared" si="19"/>
        <v>473</v>
      </c>
      <c r="E618" s="39" t="str">
        <f>+_xlfn.XLOOKUP(A618,Hoja3!$C$3:$C$1124,Hoja3!$D$3:$D$1124)</f>
        <v>MORROA</v>
      </c>
      <c r="F618" s="41">
        <v>43961</v>
      </c>
    </row>
    <row r="619" spans="1:6" x14ac:dyDescent="0.25">
      <c r="A619" s="37" t="s">
        <v>76</v>
      </c>
      <c r="B619" s="38" t="str">
        <f t="shared" si="18"/>
        <v>05</v>
      </c>
      <c r="C619" s="39" t="str">
        <f>+_xlfn.XLOOKUP(A619,Hoja3!$C$3:$C$1124,Hoja3!$B$3:$B$1124)</f>
        <v>ANTIOQUIA</v>
      </c>
      <c r="D619" s="40" t="str">
        <f t="shared" si="19"/>
        <v>475</v>
      </c>
      <c r="E619" s="39" t="str">
        <f>+_xlfn.XLOOKUP(A619,Hoja3!$C$3:$C$1124,Hoja3!$D$3:$D$1124)</f>
        <v>MURINDÓ</v>
      </c>
      <c r="F619" s="41">
        <v>43992</v>
      </c>
    </row>
    <row r="620" spans="1:6" x14ac:dyDescent="0.25">
      <c r="A620" s="37" t="s">
        <v>251</v>
      </c>
      <c r="B620" s="38" t="str">
        <f t="shared" si="18"/>
        <v>15</v>
      </c>
      <c r="C620" s="39" t="str">
        <f>+_xlfn.XLOOKUP(A620,Hoja3!$C$3:$C$1124,Hoja3!$B$3:$B$1124)</f>
        <v>BOYACÁ</v>
      </c>
      <c r="D620" s="40" t="str">
        <f t="shared" si="19"/>
        <v>476</v>
      </c>
      <c r="E620" s="39" t="str">
        <f>+_xlfn.XLOOKUP(A620,Hoja3!$C$3:$C$1124,Hoja3!$D$3:$D$1124)</f>
        <v>MOTAVITA</v>
      </c>
      <c r="F620" s="41">
        <v>44036</v>
      </c>
    </row>
    <row r="621" spans="1:6" x14ac:dyDescent="0.25">
      <c r="A621" s="37" t="s">
        <v>341</v>
      </c>
      <c r="B621" s="38" t="str">
        <f t="shared" si="18"/>
        <v>18</v>
      </c>
      <c r="C621" s="39" t="str">
        <f>+_xlfn.XLOOKUP(A621,Hoja3!$C$3:$C$1124,Hoja3!$B$3:$B$1124)</f>
        <v>CAQUETÁ</v>
      </c>
      <c r="D621" s="40" t="str">
        <f t="shared" si="19"/>
        <v>479</v>
      </c>
      <c r="E621" s="39" t="str">
        <f>+_xlfn.XLOOKUP(A621,Hoja3!$C$3:$C$1124,Hoja3!$D$3:$D$1124)</f>
        <v>MORELIA</v>
      </c>
      <c r="F621" s="41">
        <v>44025</v>
      </c>
    </row>
    <row r="622" spans="1:6" x14ac:dyDescent="0.25">
      <c r="A622" s="37" t="s">
        <v>77</v>
      </c>
      <c r="B622" s="38" t="str">
        <f t="shared" si="18"/>
        <v>05</v>
      </c>
      <c r="C622" s="39" t="str">
        <f>+_xlfn.XLOOKUP(A622,Hoja3!$C$3:$C$1124,Hoja3!$B$3:$B$1124)</f>
        <v>ANTIOQUIA</v>
      </c>
      <c r="D622" s="40" t="str">
        <f t="shared" si="19"/>
        <v>480</v>
      </c>
      <c r="E622" s="39" t="str">
        <f>+_xlfn.XLOOKUP(A622,Hoja3!$C$3:$C$1124,Hoja3!$D$3:$D$1124)</f>
        <v>MUTATÁ</v>
      </c>
      <c r="F622" s="41">
        <v>44001</v>
      </c>
    </row>
    <row r="623" spans="1:6" x14ac:dyDescent="0.25">
      <c r="A623" s="37" t="s">
        <v>252</v>
      </c>
      <c r="B623" s="38" t="str">
        <f t="shared" si="18"/>
        <v>15</v>
      </c>
      <c r="C623" s="39" t="str">
        <f>+_xlfn.XLOOKUP(A623,Hoja3!$C$3:$C$1124,Hoja3!$B$3:$B$1124)</f>
        <v>BOYACÁ</v>
      </c>
      <c r="D623" s="40" t="str">
        <f t="shared" si="19"/>
        <v>480</v>
      </c>
      <c r="E623" s="39" t="str">
        <f>+_xlfn.XLOOKUP(A623,Hoja3!$C$3:$C$1124,Hoja3!$D$3:$D$1124)</f>
        <v>MUZO</v>
      </c>
      <c r="F623" s="41">
        <v>43951</v>
      </c>
    </row>
    <row r="624" spans="1:6" x14ac:dyDescent="0.25">
      <c r="A624" s="37" t="s">
        <v>740</v>
      </c>
      <c r="B624" s="38" t="str">
        <f t="shared" si="18"/>
        <v>52</v>
      </c>
      <c r="C624" s="39" t="str">
        <f>+_xlfn.XLOOKUP(A624,Hoja3!$C$3:$C$1124,Hoja3!$B$3:$B$1124)</f>
        <v>NARIÑO</v>
      </c>
      <c r="D624" s="40" t="str">
        <f t="shared" si="19"/>
        <v>480</v>
      </c>
      <c r="E624" s="39" t="str">
        <f>+_xlfn.XLOOKUP(A624,Hoja3!$C$3:$C$1124,Hoja3!$D$3:$D$1124)</f>
        <v>NARIÑO</v>
      </c>
      <c r="F624" s="41">
        <v>43974</v>
      </c>
    </row>
    <row r="625" spans="1:6" x14ac:dyDescent="0.25">
      <c r="A625" s="37" t="s">
        <v>787</v>
      </c>
      <c r="B625" s="38" t="str">
        <f t="shared" si="18"/>
        <v>54</v>
      </c>
      <c r="C625" s="39" t="str">
        <f>+_xlfn.XLOOKUP(A625,Hoja3!$C$3:$C$1124,Hoja3!$B$3:$B$1124)</f>
        <v>NORTE DE SANTANDER</v>
      </c>
      <c r="D625" s="40" t="str">
        <f t="shared" si="19"/>
        <v>480</v>
      </c>
      <c r="E625" s="39" t="str">
        <f>+_xlfn.XLOOKUP(A625,Hoja3!$C$3:$C$1124,Hoja3!$D$3:$D$1124)</f>
        <v>MUTISCUA</v>
      </c>
      <c r="F625" s="41">
        <v>43990</v>
      </c>
    </row>
    <row r="626" spans="1:6" x14ac:dyDescent="0.25">
      <c r="A626" s="37" t="s">
        <v>971</v>
      </c>
      <c r="B626" s="38" t="str">
        <f t="shared" si="18"/>
        <v>73</v>
      </c>
      <c r="C626" s="39" t="str">
        <f>+_xlfn.XLOOKUP(A626,Hoja3!$C$3:$C$1124,Hoja3!$B$3:$B$1124)</f>
        <v>TOLIMA</v>
      </c>
      <c r="D626" s="40" t="str">
        <f t="shared" si="19"/>
        <v>483</v>
      </c>
      <c r="E626" s="39" t="str">
        <f>+_xlfn.XLOOKUP(A626,Hoja3!$C$3:$C$1124,Hoja3!$D$3:$D$1124)</f>
        <v>NATAGAIMA</v>
      </c>
      <c r="F626" s="41">
        <v>43990</v>
      </c>
    </row>
    <row r="627" spans="1:6" x14ac:dyDescent="0.25">
      <c r="A627" s="37" t="s">
        <v>534</v>
      </c>
      <c r="B627" s="38" t="str">
        <f t="shared" si="18"/>
        <v>25</v>
      </c>
      <c r="C627" s="39" t="str">
        <f>+_xlfn.XLOOKUP(A627,Hoja3!$C$3:$C$1124,Hoja3!$B$3:$B$1124)</f>
        <v>CUNDINAMARCA</v>
      </c>
      <c r="D627" s="40" t="str">
        <f t="shared" si="19"/>
        <v>483</v>
      </c>
      <c r="E627" s="39" t="str">
        <f>+_xlfn.XLOOKUP(A627,Hoja3!$C$3:$C$1124,Hoja3!$D$3:$D$1124)</f>
        <v>NARIÑO</v>
      </c>
      <c r="F627" s="41">
        <v>44002</v>
      </c>
    </row>
    <row r="628" spans="1:6" x14ac:dyDescent="0.25">
      <c r="A628" s="37" t="s">
        <v>613</v>
      </c>
      <c r="B628" s="38" t="str">
        <f t="shared" si="18"/>
        <v>41</v>
      </c>
      <c r="C628" s="39" t="str">
        <f>+_xlfn.XLOOKUP(A628,Hoja3!$C$3:$C$1124,Hoja3!$B$3:$B$1124)</f>
        <v>HUILA</v>
      </c>
      <c r="D628" s="40" t="str">
        <f t="shared" si="19"/>
        <v>483</v>
      </c>
      <c r="E628" s="39" t="str">
        <f>+_xlfn.XLOOKUP(A628,Hoja3!$C$3:$C$1124,Hoja3!$D$3:$D$1124)</f>
        <v>NÁTAGA</v>
      </c>
      <c r="F628" s="41">
        <v>43920</v>
      </c>
    </row>
    <row r="629" spans="1:6" x14ac:dyDescent="0.25">
      <c r="A629" s="38" t="s">
        <v>2075</v>
      </c>
      <c r="B629" s="38" t="str">
        <f t="shared" si="18"/>
        <v>05</v>
      </c>
      <c r="C629" s="39" t="str">
        <f>+_xlfn.XLOOKUP(A629,Hoja3!$C$3:$C$1124,Hoja3!$B$3:$B$1124)</f>
        <v>ANTIOQUIA</v>
      </c>
      <c r="D629" s="40" t="str">
        <f t="shared" si="19"/>
        <v>483</v>
      </c>
      <c r="E629" s="39" t="str">
        <f>+_xlfn.XLOOKUP(A629,Hoja3!$C$3:$C$1124,Hoja3!$D$3:$D$1124)</f>
        <v>NARIÑO</v>
      </c>
      <c r="F629" s="42">
        <v>45658</v>
      </c>
    </row>
    <row r="630" spans="1:6" x14ac:dyDescent="0.25">
      <c r="A630" s="37" t="s">
        <v>319</v>
      </c>
      <c r="B630" s="38" t="str">
        <f t="shared" si="18"/>
        <v>17</v>
      </c>
      <c r="C630" s="39" t="str">
        <f>+_xlfn.XLOOKUP(A630,Hoja3!$C$3:$C$1124,Hoja3!$B$3:$B$1124)</f>
        <v>CALDAS</v>
      </c>
      <c r="D630" s="40" t="str">
        <f t="shared" si="19"/>
        <v>486</v>
      </c>
      <c r="E630" s="39" t="str">
        <f>+_xlfn.XLOOKUP(A630,Hoja3!$C$3:$C$1124,Hoja3!$D$3:$D$1124)</f>
        <v>NEIRA</v>
      </c>
      <c r="F630" s="41">
        <v>43975</v>
      </c>
    </row>
    <row r="631" spans="1:6" x14ac:dyDescent="0.25">
      <c r="A631" s="37" t="s">
        <v>535</v>
      </c>
      <c r="B631" s="38" t="str">
        <f t="shared" si="18"/>
        <v>25</v>
      </c>
      <c r="C631" s="39" t="str">
        <f>+_xlfn.XLOOKUP(A631,Hoja3!$C$3:$C$1124,Hoja3!$B$3:$B$1124)</f>
        <v>CUNDINAMARCA</v>
      </c>
      <c r="D631" s="40" t="str">
        <f t="shared" si="19"/>
        <v>486</v>
      </c>
      <c r="E631" s="39" t="str">
        <f>+_xlfn.XLOOKUP(A631,Hoja3!$C$3:$C$1124,Hoja3!$D$3:$D$1124)</f>
        <v>NEMOCÓN</v>
      </c>
      <c r="F631" s="41">
        <v>43994</v>
      </c>
    </row>
    <row r="632" spans="1:6" x14ac:dyDescent="0.25">
      <c r="A632" s="37" t="s">
        <v>536</v>
      </c>
      <c r="B632" s="38" t="str">
        <f t="shared" si="18"/>
        <v>25</v>
      </c>
      <c r="C632" s="39" t="str">
        <f>+_xlfn.XLOOKUP(A632,Hoja3!$C$3:$C$1124,Hoja3!$B$3:$B$1124)</f>
        <v>CUNDINAMARCA</v>
      </c>
      <c r="D632" s="40" t="str">
        <f t="shared" si="19"/>
        <v>488</v>
      </c>
      <c r="E632" s="39" t="str">
        <f>+_xlfn.XLOOKUP(A632,Hoja3!$C$3:$C$1124,Hoja3!$D$3:$D$1124)</f>
        <v>NILO</v>
      </c>
      <c r="F632" s="41">
        <v>43961</v>
      </c>
    </row>
    <row r="633" spans="1:6" x14ac:dyDescent="0.25">
      <c r="A633" s="37" t="s">
        <v>537</v>
      </c>
      <c r="B633" s="38" t="str">
        <f t="shared" si="18"/>
        <v>25</v>
      </c>
      <c r="C633" s="39" t="str">
        <f>+_xlfn.XLOOKUP(A633,Hoja3!$C$3:$C$1124,Hoja3!$B$3:$B$1124)</f>
        <v>CUNDINAMARCA</v>
      </c>
      <c r="D633" s="40" t="str">
        <f t="shared" si="19"/>
        <v>489</v>
      </c>
      <c r="E633" s="39" t="str">
        <f>+_xlfn.XLOOKUP(A633,Hoja3!$C$3:$C$1124,Hoja3!$D$3:$D$1124)</f>
        <v>NIMAIMA</v>
      </c>
      <c r="F633" s="41">
        <v>44020</v>
      </c>
    </row>
    <row r="634" spans="1:6" x14ac:dyDescent="0.25">
      <c r="A634" s="37" t="s">
        <v>78</v>
      </c>
      <c r="B634" s="38" t="str">
        <f t="shared" si="18"/>
        <v>05</v>
      </c>
      <c r="C634" s="39" t="str">
        <f>+_xlfn.XLOOKUP(A634,Hoja3!$C$3:$C$1124,Hoja3!$B$3:$B$1124)</f>
        <v>ANTIOQUIA</v>
      </c>
      <c r="D634" s="40" t="str">
        <f t="shared" si="19"/>
        <v>490</v>
      </c>
      <c r="E634" s="39" t="str">
        <f>+_xlfn.XLOOKUP(A634,Hoja3!$C$3:$C$1124,Hoja3!$D$3:$D$1124)</f>
        <v>NECOCLÍ</v>
      </c>
      <c r="F634" s="41">
        <v>43994</v>
      </c>
    </row>
    <row r="635" spans="1:6" x14ac:dyDescent="0.25">
      <c r="A635" s="37" t="s">
        <v>182</v>
      </c>
      <c r="B635" s="38" t="str">
        <f t="shared" si="18"/>
        <v>13</v>
      </c>
      <c r="C635" s="39" t="str">
        <f>+_xlfn.XLOOKUP(A635,Hoja3!$C$3:$C$1124,Hoja3!$B$3:$B$1124)</f>
        <v>BOLÍVAR</v>
      </c>
      <c r="D635" s="40" t="str">
        <f t="shared" si="19"/>
        <v>490</v>
      </c>
      <c r="E635" s="39" t="str">
        <f>+_xlfn.XLOOKUP(A635,Hoja3!$C$3:$C$1124,Hoja3!$D$3:$D$1124)</f>
        <v>NOROSÍ</v>
      </c>
      <c r="F635" s="41">
        <v>44012</v>
      </c>
    </row>
    <row r="636" spans="1:6" x14ac:dyDescent="0.25">
      <c r="A636" s="37" t="s">
        <v>741</v>
      </c>
      <c r="B636" s="38" t="str">
        <f t="shared" si="18"/>
        <v>52</v>
      </c>
      <c r="C636" s="39" t="str">
        <f>+_xlfn.XLOOKUP(A636,Hoja3!$C$3:$C$1124,Hoja3!$B$3:$B$1124)</f>
        <v>NARIÑO</v>
      </c>
      <c r="D636" s="40" t="str">
        <f t="shared" si="19"/>
        <v>490</v>
      </c>
      <c r="E636" s="39" t="str">
        <f>+_xlfn.XLOOKUP(A636,Hoja3!$C$3:$C$1124,Hoja3!$D$3:$D$1124)</f>
        <v>OLAYA HERRERA</v>
      </c>
      <c r="F636" s="41">
        <v>43966</v>
      </c>
    </row>
    <row r="637" spans="1:6" x14ac:dyDescent="0.25">
      <c r="A637" s="37" t="s">
        <v>253</v>
      </c>
      <c r="B637" s="38" t="str">
        <f t="shared" si="18"/>
        <v>15</v>
      </c>
      <c r="C637" s="39" t="str">
        <f>+_xlfn.XLOOKUP(A637,Hoja3!$C$3:$C$1124,Hoja3!$B$3:$B$1124)</f>
        <v>BOYACÁ</v>
      </c>
      <c r="D637" s="40" t="str">
        <f t="shared" si="19"/>
        <v>491</v>
      </c>
      <c r="E637" s="39" t="str">
        <f>+_xlfn.XLOOKUP(A637,Hoja3!$C$3:$C$1124,Hoja3!$D$3:$D$1124)</f>
        <v>NOBSA</v>
      </c>
      <c r="F637" s="41">
        <v>44005</v>
      </c>
    </row>
    <row r="638" spans="1:6" x14ac:dyDescent="0.25">
      <c r="A638" s="37" t="s">
        <v>444</v>
      </c>
      <c r="B638" s="38" t="str">
        <f t="shared" si="18"/>
        <v>27</v>
      </c>
      <c r="C638" s="39" t="str">
        <f>+_xlfn.XLOOKUP(A638,Hoja3!$C$3:$C$1124,Hoja3!$B$3:$B$1124)</f>
        <v>CHOCÓ</v>
      </c>
      <c r="D638" s="40" t="str">
        <f t="shared" si="19"/>
        <v>491</v>
      </c>
      <c r="E638" s="39" t="str">
        <f>+_xlfn.XLOOKUP(A638,Hoja3!$C$3:$C$1124,Hoja3!$D$3:$D$1124)</f>
        <v>NÓVITA</v>
      </c>
      <c r="F638" s="41">
        <v>44005</v>
      </c>
    </row>
    <row r="639" spans="1:6" x14ac:dyDescent="0.25">
      <c r="A639" s="37" t="s">
        <v>538</v>
      </c>
      <c r="B639" s="38" t="str">
        <f t="shared" si="18"/>
        <v>25</v>
      </c>
      <c r="C639" s="39" t="str">
        <f>+_xlfn.XLOOKUP(A639,Hoja3!$C$3:$C$1124,Hoja3!$B$3:$B$1124)</f>
        <v>CUNDINAMARCA</v>
      </c>
      <c r="D639" s="40" t="str">
        <f t="shared" si="19"/>
        <v>491</v>
      </c>
      <c r="E639" s="39" t="str">
        <f>+_xlfn.XLOOKUP(A639,Hoja3!$C$3:$C$1124,Hoja3!$D$3:$D$1124)</f>
        <v>NOCAIMA</v>
      </c>
      <c r="F639" s="41">
        <v>44043</v>
      </c>
    </row>
    <row r="640" spans="1:6" x14ac:dyDescent="0.25">
      <c r="A640" s="38" t="s">
        <v>2039</v>
      </c>
      <c r="B640" s="38" t="str">
        <f t="shared" si="18"/>
        <v>27</v>
      </c>
      <c r="C640" s="39" t="str">
        <f>+_xlfn.XLOOKUP(A640,Hoja3!$C$3:$C$1124,Hoja3!$B$3:$B$1124)</f>
        <v>CHOCÓ</v>
      </c>
      <c r="D640" s="40" t="str">
        <f t="shared" si="19"/>
        <v>493</v>
      </c>
      <c r="E640" s="39" t="str">
        <f>+_xlfn.XLOOKUP(A640,Hoja3!$C$3:$C$1124,Hoja3!$D$3:$D$1124)</f>
        <v>NUEVO BELÉN DE BAJIRÁ</v>
      </c>
      <c r="F640" s="42">
        <v>45658</v>
      </c>
    </row>
    <row r="641" spans="1:6" x14ac:dyDescent="0.25">
      <c r="A641" s="37" t="s">
        <v>254</v>
      </c>
      <c r="B641" s="38" t="str">
        <f t="shared" si="18"/>
        <v>15</v>
      </c>
      <c r="C641" s="39" t="str">
        <f>+_xlfn.XLOOKUP(A641,Hoja3!$C$3:$C$1124,Hoja3!$B$3:$B$1124)</f>
        <v>BOYACÁ</v>
      </c>
      <c r="D641" s="40" t="str">
        <f t="shared" si="19"/>
        <v>494</v>
      </c>
      <c r="E641" s="39" t="str">
        <f>+_xlfn.XLOOKUP(A641,Hoja3!$C$3:$C$1124,Hoja3!$D$3:$D$1124)</f>
        <v>NUEVO COLÓN</v>
      </c>
      <c r="F641" s="41">
        <v>43968</v>
      </c>
    </row>
    <row r="642" spans="1:6" x14ac:dyDescent="0.25">
      <c r="A642" s="37" t="s">
        <v>79</v>
      </c>
      <c r="B642" s="38" t="str">
        <f t="shared" ref="B642:B705" si="20">MID(A642,1,2)</f>
        <v>05</v>
      </c>
      <c r="C642" s="39" t="str">
        <f>+_xlfn.XLOOKUP(A642,Hoja3!$C$3:$C$1124,Hoja3!$B$3:$B$1124)</f>
        <v>ANTIOQUIA</v>
      </c>
      <c r="D642" s="40" t="str">
        <f t="shared" ref="D642:D705" si="21">MID(A642,3,3)</f>
        <v>495</v>
      </c>
      <c r="E642" s="39" t="str">
        <f>+_xlfn.XLOOKUP(A642,Hoja3!$C$3:$C$1124,Hoja3!$D$3:$D$1124)</f>
        <v>NECHÍ</v>
      </c>
      <c r="F642" s="41">
        <v>43955</v>
      </c>
    </row>
    <row r="643" spans="1:6" x14ac:dyDescent="0.25">
      <c r="A643" s="37" t="s">
        <v>320</v>
      </c>
      <c r="B643" s="38" t="str">
        <f t="shared" si="20"/>
        <v>17</v>
      </c>
      <c r="C643" s="39" t="str">
        <f>+_xlfn.XLOOKUP(A643,Hoja3!$C$3:$C$1124,Hoja3!$B$3:$B$1124)</f>
        <v>CALDAS</v>
      </c>
      <c r="D643" s="40" t="str">
        <f t="shared" si="21"/>
        <v>495</v>
      </c>
      <c r="E643" s="39" t="str">
        <f>+_xlfn.XLOOKUP(A643,Hoja3!$C$3:$C$1124,Hoja3!$D$3:$D$1124)</f>
        <v>NORCASIA</v>
      </c>
      <c r="F643" s="41">
        <v>43946</v>
      </c>
    </row>
    <row r="644" spans="1:6" x14ac:dyDescent="0.25">
      <c r="A644" s="37" t="s">
        <v>445</v>
      </c>
      <c r="B644" s="38" t="str">
        <f t="shared" si="20"/>
        <v>27</v>
      </c>
      <c r="C644" s="39" t="str">
        <f>+_xlfn.XLOOKUP(A644,Hoja3!$C$3:$C$1124,Hoja3!$B$3:$B$1124)</f>
        <v>CHOCÓ</v>
      </c>
      <c r="D644" s="40" t="str">
        <f t="shared" si="21"/>
        <v>495</v>
      </c>
      <c r="E644" s="39" t="str">
        <f>+_xlfn.XLOOKUP(A644,Hoja3!$C$3:$C$1124,Hoja3!$D$3:$D$1124)</f>
        <v>NUQUÍ</v>
      </c>
      <c r="F644" s="41">
        <v>44014</v>
      </c>
    </row>
    <row r="645" spans="1:6" x14ac:dyDescent="0.25">
      <c r="A645" s="37" t="s">
        <v>1012</v>
      </c>
      <c r="B645" s="38" t="str">
        <f t="shared" si="20"/>
        <v>76</v>
      </c>
      <c r="C645" s="39" t="str">
        <f>+_xlfn.XLOOKUP(A645,Hoja3!$C$3:$C$1124,Hoja3!$B$3:$B$1124)</f>
        <v>VALLE DEL CAUCA</v>
      </c>
      <c r="D645" s="40" t="str">
        <f t="shared" si="21"/>
        <v>497</v>
      </c>
      <c r="E645" s="39" t="str">
        <f>+_xlfn.XLOOKUP(A645,Hoja3!$C$3:$C$1124,Hoja3!$D$3:$D$1124)</f>
        <v>OBANDO</v>
      </c>
      <c r="F645" s="41">
        <v>43972</v>
      </c>
    </row>
    <row r="646" spans="1:6" x14ac:dyDescent="0.25">
      <c r="A646" s="37" t="s">
        <v>788</v>
      </c>
      <c r="B646" s="38" t="str">
        <f t="shared" si="20"/>
        <v>54</v>
      </c>
      <c r="C646" s="39" t="str">
        <f>+_xlfn.XLOOKUP(A646,Hoja3!$C$3:$C$1124,Hoja3!$B$3:$B$1124)</f>
        <v>NORTE DE SANTANDER</v>
      </c>
      <c r="D646" s="40" t="str">
        <f t="shared" si="21"/>
        <v>498</v>
      </c>
      <c r="E646" s="39" t="str">
        <f>+_xlfn.XLOOKUP(A646,Hoja3!$C$3:$C$1124,Hoja3!$D$3:$D$1124)</f>
        <v>OCAÑA</v>
      </c>
      <c r="F646" s="41">
        <v>43914</v>
      </c>
    </row>
    <row r="647" spans="1:6" x14ac:dyDescent="0.25">
      <c r="A647" s="38" t="s">
        <v>2112</v>
      </c>
      <c r="B647" s="38" t="str">
        <f t="shared" si="20"/>
        <v>68</v>
      </c>
      <c r="C647" s="39" t="str">
        <f>+_xlfn.XLOOKUP(A647,Hoja3!$C$3:$C$1124,Hoja3!$B$3:$B$1124)</f>
        <v>SANTANDER</v>
      </c>
      <c r="D647" s="40" t="str">
        <f t="shared" si="21"/>
        <v>498</v>
      </c>
      <c r="E647" s="39" t="str">
        <f>+_xlfn.XLOOKUP(A647,Hoja3!$C$3:$C$1124,Hoja3!$D$3:$D$1124)</f>
        <v>OCAMONTE</v>
      </c>
      <c r="F647" s="42">
        <v>45658</v>
      </c>
    </row>
    <row r="648" spans="1:6" x14ac:dyDescent="0.25">
      <c r="A648" s="37" t="s">
        <v>255</v>
      </c>
      <c r="B648" s="38" t="str">
        <f t="shared" si="20"/>
        <v>15</v>
      </c>
      <c r="C648" s="39" t="str">
        <f>+_xlfn.XLOOKUP(A648,Hoja3!$C$3:$C$1124,Hoja3!$B$3:$B$1124)</f>
        <v>BOYACÁ</v>
      </c>
      <c r="D648" s="40" t="str">
        <f t="shared" si="21"/>
        <v>500</v>
      </c>
      <c r="E648" s="39" t="str">
        <f>+_xlfn.XLOOKUP(A648,Hoja3!$C$3:$C$1124,Hoja3!$D$3:$D$1124)</f>
        <v>OICATÁ</v>
      </c>
      <c r="F648" s="41">
        <v>43915</v>
      </c>
    </row>
    <row r="649" spans="1:6" x14ac:dyDescent="0.25">
      <c r="A649" s="37" t="s">
        <v>466</v>
      </c>
      <c r="B649" s="38" t="str">
        <f t="shared" si="20"/>
        <v>23</v>
      </c>
      <c r="C649" s="39" t="str">
        <f>+_xlfn.XLOOKUP(A649,Hoja3!$C$3:$C$1124,Hoja3!$B$3:$B$1124)</f>
        <v>CÓRDOBA</v>
      </c>
      <c r="D649" s="40" t="str">
        <f t="shared" si="21"/>
        <v>500</v>
      </c>
      <c r="E649" s="39" t="str">
        <f>+_xlfn.XLOOKUP(A649,Hoja3!$C$3:$C$1124,Hoja3!$D$3:$D$1124)</f>
        <v>MOÑITOS</v>
      </c>
      <c r="F649" s="41">
        <v>43992</v>
      </c>
    </row>
    <row r="650" spans="1:6" x14ac:dyDescent="0.25">
      <c r="A650" s="37" t="s">
        <v>892</v>
      </c>
      <c r="B650" s="38" t="str">
        <f t="shared" si="20"/>
        <v>68</v>
      </c>
      <c r="C650" s="39" t="str">
        <f>+_xlfn.XLOOKUP(A650,Hoja3!$C$3:$C$1124,Hoja3!$B$3:$B$1124)</f>
        <v>SANTANDER</v>
      </c>
      <c r="D650" s="40" t="str">
        <f t="shared" si="21"/>
        <v>500</v>
      </c>
      <c r="E650" s="39" t="str">
        <f>+_xlfn.XLOOKUP(A650,Hoja3!$C$3:$C$1124,Hoja3!$D$3:$D$1124)</f>
        <v>OIBA</v>
      </c>
      <c r="F650" s="41">
        <v>44011</v>
      </c>
    </row>
    <row r="651" spans="1:6" x14ac:dyDescent="0.25">
      <c r="A651" s="37" t="s">
        <v>80</v>
      </c>
      <c r="B651" s="38" t="str">
        <f t="shared" si="20"/>
        <v>05</v>
      </c>
      <c r="C651" s="39" t="str">
        <f>+_xlfn.XLOOKUP(A651,Hoja3!$C$3:$C$1124,Hoja3!$B$3:$B$1124)</f>
        <v>ANTIOQUIA</v>
      </c>
      <c r="D651" s="40" t="str">
        <f t="shared" si="21"/>
        <v>501</v>
      </c>
      <c r="E651" s="39" t="str">
        <f>+_xlfn.XLOOKUP(A651,Hoja3!$C$3:$C$1124,Hoja3!$D$3:$D$1124)</f>
        <v>OLAYA</v>
      </c>
      <c r="F651" s="41">
        <v>44017</v>
      </c>
    </row>
    <row r="652" spans="1:6" x14ac:dyDescent="0.25">
      <c r="A652" s="37" t="s">
        <v>893</v>
      </c>
      <c r="B652" s="38" t="str">
        <f t="shared" si="20"/>
        <v>68</v>
      </c>
      <c r="C652" s="39" t="str">
        <f>+_xlfn.XLOOKUP(A652,Hoja3!$C$3:$C$1124,Hoja3!$B$3:$B$1124)</f>
        <v>SANTANDER</v>
      </c>
      <c r="D652" s="40" t="str">
        <f t="shared" si="21"/>
        <v>502</v>
      </c>
      <c r="E652" s="39" t="str">
        <f>+_xlfn.XLOOKUP(A652,Hoja3!$C$3:$C$1124,Hoja3!$D$3:$D$1124)</f>
        <v>ONZAGA</v>
      </c>
      <c r="F652" s="41">
        <v>44008</v>
      </c>
    </row>
    <row r="653" spans="1:6" x14ac:dyDescent="0.25">
      <c r="A653" s="37" t="s">
        <v>614</v>
      </c>
      <c r="B653" s="38" t="str">
        <f t="shared" si="20"/>
        <v>41</v>
      </c>
      <c r="C653" s="39" t="str">
        <f>+_xlfn.XLOOKUP(A653,Hoja3!$C$3:$C$1124,Hoja3!$B$3:$B$1124)</f>
        <v>HUILA</v>
      </c>
      <c r="D653" s="40" t="str">
        <f t="shared" si="21"/>
        <v>503</v>
      </c>
      <c r="E653" s="39" t="str">
        <f>+_xlfn.XLOOKUP(A653,Hoja3!$C$3:$C$1124,Hoja3!$D$3:$D$1124)</f>
        <v>OPORAPA</v>
      </c>
      <c r="F653" s="41">
        <v>43939</v>
      </c>
    </row>
    <row r="654" spans="1:6" x14ac:dyDescent="0.25">
      <c r="A654" s="37" t="s">
        <v>972</v>
      </c>
      <c r="B654" s="38" t="str">
        <f t="shared" si="20"/>
        <v>73</v>
      </c>
      <c r="C654" s="39" t="str">
        <f>+_xlfn.XLOOKUP(A654,Hoja3!$C$3:$C$1124,Hoja3!$B$3:$B$1124)</f>
        <v>TOLIMA</v>
      </c>
      <c r="D654" s="40" t="str">
        <f t="shared" si="21"/>
        <v>504</v>
      </c>
      <c r="E654" s="39" t="str">
        <f>+_xlfn.XLOOKUP(A654,Hoja3!$C$3:$C$1124,Hoja3!$D$3:$D$1124)</f>
        <v>ORTEGA</v>
      </c>
      <c r="F654" s="41">
        <v>44020</v>
      </c>
    </row>
    <row r="655" spans="1:6" x14ac:dyDescent="0.25">
      <c r="A655" s="37" t="s">
        <v>539</v>
      </c>
      <c r="B655" s="38" t="str">
        <f t="shared" si="20"/>
        <v>25</v>
      </c>
      <c r="C655" s="39" t="str">
        <f>+_xlfn.XLOOKUP(A655,Hoja3!$C$3:$C$1124,Hoja3!$B$3:$B$1124)</f>
        <v>CUNDINAMARCA</v>
      </c>
      <c r="D655" s="40" t="str">
        <f t="shared" si="21"/>
        <v>506</v>
      </c>
      <c r="E655" s="39" t="str">
        <f>+_xlfn.XLOOKUP(A655,Hoja3!$C$3:$C$1124,Hoja3!$D$3:$D$1124)</f>
        <v>VENECIA</v>
      </c>
      <c r="F655" s="41">
        <v>43967</v>
      </c>
    </row>
    <row r="656" spans="1:6" x14ac:dyDescent="0.25">
      <c r="A656" s="37" t="s">
        <v>742</v>
      </c>
      <c r="B656" s="38" t="str">
        <f t="shared" si="20"/>
        <v>52</v>
      </c>
      <c r="C656" s="39" t="str">
        <f>+_xlfn.XLOOKUP(A656,Hoja3!$C$3:$C$1124,Hoja3!$B$3:$B$1124)</f>
        <v>NARIÑO</v>
      </c>
      <c r="D656" s="40" t="str">
        <f t="shared" si="21"/>
        <v>506</v>
      </c>
      <c r="E656" s="39" t="str">
        <f>+_xlfn.XLOOKUP(A656,Hoja3!$C$3:$C$1124,Hoja3!$D$3:$D$1124)</f>
        <v>OSPINA</v>
      </c>
      <c r="F656" s="41">
        <v>44058</v>
      </c>
    </row>
    <row r="657" spans="1:6" x14ac:dyDescent="0.25">
      <c r="A657" s="37" t="s">
        <v>256</v>
      </c>
      <c r="B657" s="38" t="str">
        <f t="shared" si="20"/>
        <v>15</v>
      </c>
      <c r="C657" s="39" t="str">
        <f>+_xlfn.XLOOKUP(A657,Hoja3!$C$3:$C$1124,Hoja3!$B$3:$B$1124)</f>
        <v>BOYACÁ</v>
      </c>
      <c r="D657" s="40" t="str">
        <f t="shared" si="21"/>
        <v>507</v>
      </c>
      <c r="E657" s="39" t="str">
        <f>+_xlfn.XLOOKUP(A657,Hoja3!$C$3:$C$1124,Hoja3!$D$3:$D$1124)</f>
        <v>OTANCHE</v>
      </c>
      <c r="F657" s="41">
        <v>44048</v>
      </c>
    </row>
    <row r="658" spans="1:6" x14ac:dyDescent="0.25">
      <c r="A658" s="37" t="s">
        <v>933</v>
      </c>
      <c r="B658" s="38" t="str">
        <f t="shared" si="20"/>
        <v>70</v>
      </c>
      <c r="C658" s="39" t="str">
        <f>+_xlfn.XLOOKUP(A658,Hoja3!$C$3:$C$1124,Hoja3!$B$3:$B$1124)</f>
        <v>SUCRE</v>
      </c>
      <c r="D658" s="40" t="str">
        <f t="shared" si="21"/>
        <v>508</v>
      </c>
      <c r="E658" s="39" t="str">
        <f>+_xlfn.XLOOKUP(A658,Hoja3!$C$3:$C$1124,Hoja3!$D$3:$D$1124)</f>
        <v>OVEJAS</v>
      </c>
      <c r="F658" s="41">
        <v>43995</v>
      </c>
    </row>
    <row r="659" spans="1:6" x14ac:dyDescent="0.25">
      <c r="A659" s="37" t="s">
        <v>257</v>
      </c>
      <c r="B659" s="38" t="str">
        <f t="shared" si="20"/>
        <v>15</v>
      </c>
      <c r="C659" s="39" t="str">
        <f>+_xlfn.XLOOKUP(A659,Hoja3!$C$3:$C$1124,Hoja3!$B$3:$B$1124)</f>
        <v>BOYACÁ</v>
      </c>
      <c r="D659" s="40" t="str">
        <f t="shared" si="21"/>
        <v>511</v>
      </c>
      <c r="E659" s="39" t="str">
        <f>+_xlfn.XLOOKUP(A659,Hoja3!$C$3:$C$1124,Hoja3!$D$3:$D$1124)</f>
        <v>PACHAVITA</v>
      </c>
      <c r="F659" s="41">
        <v>44037</v>
      </c>
    </row>
    <row r="660" spans="1:6" x14ac:dyDescent="0.25">
      <c r="A660" s="38" t="s">
        <v>2055</v>
      </c>
      <c r="B660" s="38" t="str">
        <f t="shared" si="20"/>
        <v>97</v>
      </c>
      <c r="C660" s="39" t="str">
        <f>+_xlfn.XLOOKUP(A660,Hoja3!$C$3:$C$1124,Hoja3!$B$3:$B$1124)</f>
        <v>VAUPÉS</v>
      </c>
      <c r="D660" s="40" t="str">
        <f t="shared" si="21"/>
        <v>511</v>
      </c>
      <c r="E660" s="39" t="str">
        <f>+_xlfn.XLOOKUP(A660,Hoja3!$C$3:$C$1124,Hoja3!$D$3:$D$1124)</f>
        <v>PACOA</v>
      </c>
      <c r="F660" s="42">
        <v>45658</v>
      </c>
    </row>
    <row r="661" spans="1:6" x14ac:dyDescent="0.25">
      <c r="A661" s="37" t="s">
        <v>321</v>
      </c>
      <c r="B661" s="38" t="str">
        <f t="shared" si="20"/>
        <v>17</v>
      </c>
      <c r="C661" s="39" t="str">
        <f>+_xlfn.XLOOKUP(A661,Hoja3!$C$3:$C$1124,Hoja3!$B$3:$B$1124)</f>
        <v>CALDAS</v>
      </c>
      <c r="D661" s="40" t="str">
        <f t="shared" si="21"/>
        <v>513</v>
      </c>
      <c r="E661" s="39" t="str">
        <f>+_xlfn.XLOOKUP(A661,Hoja3!$C$3:$C$1124,Hoja3!$D$3:$D$1124)</f>
        <v>PÁCORA</v>
      </c>
      <c r="F661" s="41">
        <v>44018</v>
      </c>
    </row>
    <row r="662" spans="1:6" x14ac:dyDescent="0.25">
      <c r="A662" s="37" t="s">
        <v>383</v>
      </c>
      <c r="B662" s="38" t="str">
        <f t="shared" si="20"/>
        <v>19</v>
      </c>
      <c r="C662" s="39" t="str">
        <f>+_xlfn.XLOOKUP(A662,Hoja3!$C$3:$C$1124,Hoja3!$B$3:$B$1124)</f>
        <v>CAUCA</v>
      </c>
      <c r="D662" s="40" t="str">
        <f t="shared" si="21"/>
        <v>513</v>
      </c>
      <c r="E662" s="39" t="str">
        <f>+_xlfn.XLOOKUP(A662,Hoja3!$C$3:$C$1124,Hoja3!$D$3:$D$1124)</f>
        <v>PADILLA</v>
      </c>
      <c r="F662" s="41">
        <v>43987</v>
      </c>
    </row>
    <row r="663" spans="1:6" x14ac:dyDescent="0.25">
      <c r="A663" s="37" t="s">
        <v>540</v>
      </c>
      <c r="B663" s="38" t="str">
        <f t="shared" si="20"/>
        <v>25</v>
      </c>
      <c r="C663" s="39" t="str">
        <f>+_xlfn.XLOOKUP(A663,Hoja3!$C$3:$C$1124,Hoja3!$B$3:$B$1124)</f>
        <v>CUNDINAMARCA</v>
      </c>
      <c r="D663" s="40" t="str">
        <f t="shared" si="21"/>
        <v>513</v>
      </c>
      <c r="E663" s="39" t="str">
        <f>+_xlfn.XLOOKUP(A663,Hoja3!$C$3:$C$1124,Hoja3!$D$3:$D$1124)</f>
        <v>PACHO</v>
      </c>
      <c r="F663" s="41">
        <v>43910</v>
      </c>
    </row>
    <row r="664" spans="1:6" x14ac:dyDescent="0.25">
      <c r="A664" s="38" t="s">
        <v>2079</v>
      </c>
      <c r="B664" s="38" t="str">
        <f t="shared" si="20"/>
        <v>15</v>
      </c>
      <c r="C664" s="39" t="str">
        <f>+_xlfn.XLOOKUP(A664,Hoja3!$C$3:$C$1124,Hoja3!$B$3:$B$1124)</f>
        <v>BOYACÁ</v>
      </c>
      <c r="D664" s="40" t="str">
        <f t="shared" si="21"/>
        <v>514</v>
      </c>
      <c r="E664" s="39" t="str">
        <f>+_xlfn.XLOOKUP(A664,Hoja3!$C$3:$C$1124,Hoja3!$D$3:$D$1124)</f>
        <v>PÁEZ</v>
      </c>
      <c r="F664" s="42">
        <v>45658</v>
      </c>
    </row>
    <row r="665" spans="1:6" x14ac:dyDescent="0.25">
      <c r="A665" s="37" t="s">
        <v>258</v>
      </c>
      <c r="B665" s="38" t="str">
        <f t="shared" si="20"/>
        <v>15</v>
      </c>
      <c r="C665" s="39" t="str">
        <f>+_xlfn.XLOOKUP(A665,Hoja3!$C$3:$C$1124,Hoja3!$B$3:$B$1124)</f>
        <v>BOYACÁ</v>
      </c>
      <c r="D665" s="40" t="str">
        <f t="shared" si="21"/>
        <v>516</v>
      </c>
      <c r="E665" s="39" t="str">
        <f>+_xlfn.XLOOKUP(A665,Hoja3!$C$3:$C$1124,Hoja3!$D$3:$D$1124)</f>
        <v>PAIPA</v>
      </c>
      <c r="F665" s="41">
        <v>43940</v>
      </c>
    </row>
    <row r="666" spans="1:6" x14ac:dyDescent="0.25">
      <c r="A666" s="37" t="s">
        <v>384</v>
      </c>
      <c r="B666" s="38" t="str">
        <f t="shared" si="20"/>
        <v>19</v>
      </c>
      <c r="C666" s="39" t="str">
        <f>+_xlfn.XLOOKUP(A666,Hoja3!$C$3:$C$1124,Hoja3!$B$3:$B$1124)</f>
        <v>CAUCA</v>
      </c>
      <c r="D666" s="40" t="str">
        <f t="shared" si="21"/>
        <v>517</v>
      </c>
      <c r="E666" s="39" t="str">
        <f>+_xlfn.XLOOKUP(A666,Hoja3!$C$3:$C$1124,Hoja3!$D$3:$D$1124)</f>
        <v>PÁEZ</v>
      </c>
      <c r="F666" s="41">
        <v>44021</v>
      </c>
    </row>
    <row r="667" spans="1:6" x14ac:dyDescent="0.25">
      <c r="A667" s="37" t="s">
        <v>417</v>
      </c>
      <c r="B667" s="38" t="str">
        <f t="shared" si="20"/>
        <v>20</v>
      </c>
      <c r="C667" s="39" t="str">
        <f>+_xlfn.XLOOKUP(A667,Hoja3!$C$3:$C$1124,Hoja3!$B$3:$B$1124)</f>
        <v>CESAR</v>
      </c>
      <c r="D667" s="40" t="str">
        <f t="shared" si="21"/>
        <v>517</v>
      </c>
      <c r="E667" s="39" t="str">
        <f>+_xlfn.XLOOKUP(A667,Hoja3!$C$3:$C$1124,Hoja3!$D$3:$D$1124)</f>
        <v>PAILITAS</v>
      </c>
      <c r="F667" s="41">
        <v>43982</v>
      </c>
    </row>
    <row r="668" spans="1:6" x14ac:dyDescent="0.25">
      <c r="A668" s="37" t="s">
        <v>259</v>
      </c>
      <c r="B668" s="38" t="str">
        <f t="shared" si="20"/>
        <v>15</v>
      </c>
      <c r="C668" s="39" t="str">
        <f>+_xlfn.XLOOKUP(A668,Hoja3!$C$3:$C$1124,Hoja3!$B$3:$B$1124)</f>
        <v>BOYACÁ</v>
      </c>
      <c r="D668" s="40" t="str">
        <f t="shared" si="21"/>
        <v>518</v>
      </c>
      <c r="E668" s="39" t="str">
        <f>+_xlfn.XLOOKUP(A668,Hoja3!$C$3:$C$1124,Hoja3!$D$3:$D$1124)</f>
        <v>PAJARITO</v>
      </c>
      <c r="F668" s="41">
        <v>44048</v>
      </c>
    </row>
    <row r="669" spans="1:6" x14ac:dyDescent="0.25">
      <c r="A669" s="37" t="s">
        <v>615</v>
      </c>
      <c r="B669" s="38" t="str">
        <f t="shared" si="20"/>
        <v>41</v>
      </c>
      <c r="C669" s="39" t="str">
        <f>+_xlfn.XLOOKUP(A669,Hoja3!$C$3:$C$1124,Hoja3!$B$3:$B$1124)</f>
        <v>HUILA</v>
      </c>
      <c r="D669" s="40" t="str">
        <f t="shared" si="21"/>
        <v>518</v>
      </c>
      <c r="E669" s="39" t="str">
        <f>+_xlfn.XLOOKUP(A669,Hoja3!$C$3:$C$1124,Hoja3!$D$3:$D$1124)</f>
        <v>PAICOL</v>
      </c>
      <c r="F669" s="41">
        <v>43943</v>
      </c>
    </row>
    <row r="670" spans="1:6" x14ac:dyDescent="0.25">
      <c r="A670" s="37" t="s">
        <v>789</v>
      </c>
      <c r="B670" s="38" t="str">
        <f t="shared" si="20"/>
        <v>54</v>
      </c>
      <c r="C670" s="39" t="str">
        <f>+_xlfn.XLOOKUP(A670,Hoja3!$C$3:$C$1124,Hoja3!$B$3:$B$1124)</f>
        <v>NORTE DE SANTANDER</v>
      </c>
      <c r="D670" s="40" t="str">
        <f t="shared" si="21"/>
        <v>518</v>
      </c>
      <c r="E670" s="39" t="str">
        <f>+_xlfn.XLOOKUP(A670,Hoja3!$C$3:$C$1124,Hoja3!$D$3:$D$1124)</f>
        <v>PAMPLONA</v>
      </c>
      <c r="F670" s="41">
        <v>43934</v>
      </c>
    </row>
    <row r="671" spans="1:6" x14ac:dyDescent="0.25">
      <c r="A671" s="38" t="s">
        <v>2093</v>
      </c>
      <c r="B671" s="38" t="str">
        <f t="shared" si="20"/>
        <v>25</v>
      </c>
      <c r="C671" s="39" t="str">
        <f>+_xlfn.XLOOKUP(A671,Hoja3!$C$3:$C$1124,Hoja3!$B$3:$B$1124)</f>
        <v>CUNDINAMARCA</v>
      </c>
      <c r="D671" s="40" t="str">
        <f t="shared" si="21"/>
        <v>518</v>
      </c>
      <c r="E671" s="39" t="str">
        <f>+_xlfn.XLOOKUP(A671,Hoja3!$C$3:$C$1124,Hoja3!$D$3:$D$1124)</f>
        <v>PAIME</v>
      </c>
      <c r="F671" s="42">
        <v>45658</v>
      </c>
    </row>
    <row r="672" spans="1:6" x14ac:dyDescent="0.25">
      <c r="A672" s="37" t="s">
        <v>144</v>
      </c>
      <c r="B672" s="38" t="str">
        <f t="shared" si="20"/>
        <v>08</v>
      </c>
      <c r="C672" s="39" t="str">
        <f>+_xlfn.XLOOKUP(A672,Hoja3!$C$3:$C$1124,Hoja3!$B$3:$B$1124)</f>
        <v>ATLÁNTICO</v>
      </c>
      <c r="D672" s="40" t="str">
        <f t="shared" si="21"/>
        <v>520</v>
      </c>
      <c r="E672" s="39" t="str">
        <f>+_xlfn.XLOOKUP(A672,Hoja3!$C$3:$C$1124,Hoja3!$D$3:$D$1124)</f>
        <v>PALMAR DE VARELA</v>
      </c>
      <c r="F672" s="41">
        <v>43934</v>
      </c>
    </row>
    <row r="673" spans="1:6" x14ac:dyDescent="0.25">
      <c r="A673" s="37" t="s">
        <v>743</v>
      </c>
      <c r="B673" s="38" t="str">
        <f t="shared" si="20"/>
        <v>52</v>
      </c>
      <c r="C673" s="39" t="str">
        <f>+_xlfn.XLOOKUP(A673,Hoja3!$C$3:$C$1124,Hoja3!$B$3:$B$1124)</f>
        <v>NARIÑO</v>
      </c>
      <c r="D673" s="40" t="str">
        <f t="shared" si="21"/>
        <v>520</v>
      </c>
      <c r="E673" s="39" t="str">
        <f>+_xlfn.XLOOKUP(A673,Hoja3!$C$3:$C$1124,Hoja3!$D$3:$D$1124)</f>
        <v>FRANCISCO PIZARRO</v>
      </c>
      <c r="F673" s="41">
        <v>43959</v>
      </c>
    </row>
    <row r="674" spans="1:6" x14ac:dyDescent="0.25">
      <c r="A674" s="37" t="s">
        <v>790</v>
      </c>
      <c r="B674" s="38" t="str">
        <f t="shared" si="20"/>
        <v>54</v>
      </c>
      <c r="C674" s="39" t="str">
        <f>+_xlfn.XLOOKUP(A674,Hoja3!$C$3:$C$1124,Hoja3!$B$3:$B$1124)</f>
        <v>NORTE DE SANTANDER</v>
      </c>
      <c r="D674" s="40" t="str">
        <f t="shared" si="21"/>
        <v>520</v>
      </c>
      <c r="E674" s="39" t="str">
        <f>+_xlfn.XLOOKUP(A674,Hoja3!$C$3:$C$1124,Hoja3!$D$3:$D$1124)</f>
        <v>PAMPLONITA</v>
      </c>
      <c r="F674" s="41">
        <v>43995</v>
      </c>
    </row>
    <row r="675" spans="1:6" x14ac:dyDescent="0.25">
      <c r="A675" s="37" t="s">
        <v>973</v>
      </c>
      <c r="B675" s="38" t="str">
        <f t="shared" si="20"/>
        <v>73</v>
      </c>
      <c r="C675" s="39" t="str">
        <f>+_xlfn.XLOOKUP(A675,Hoja3!$C$3:$C$1124,Hoja3!$B$3:$B$1124)</f>
        <v>TOLIMA</v>
      </c>
      <c r="D675" s="40" t="str">
        <f t="shared" si="21"/>
        <v>520</v>
      </c>
      <c r="E675" s="39" t="str">
        <f>+_xlfn.XLOOKUP(A675,Hoja3!$C$3:$C$1124,Hoja3!$D$3:$D$1124)</f>
        <v>PALOCABILDO</v>
      </c>
      <c r="F675" s="41">
        <v>44037</v>
      </c>
    </row>
    <row r="676" spans="1:6" x14ac:dyDescent="0.25">
      <c r="A676" s="37" t="s">
        <v>1013</v>
      </c>
      <c r="B676" s="38" t="str">
        <f t="shared" si="20"/>
        <v>76</v>
      </c>
      <c r="C676" s="39" t="str">
        <f>+_xlfn.XLOOKUP(A676,Hoja3!$C$3:$C$1124,Hoja3!$B$3:$B$1124)</f>
        <v>VALLE DEL CAUCA</v>
      </c>
      <c r="D676" s="40" t="str">
        <f t="shared" si="21"/>
        <v>520</v>
      </c>
      <c r="E676" s="39" t="str">
        <f>+_xlfn.XLOOKUP(A676,Hoja3!$C$3:$C$1124,Hoja3!$D$3:$D$1124)</f>
        <v>PALMIRA</v>
      </c>
      <c r="F676" s="41">
        <v>43897</v>
      </c>
    </row>
    <row r="677" spans="1:6" x14ac:dyDescent="0.25">
      <c r="A677" s="37" t="s">
        <v>260</v>
      </c>
      <c r="B677" s="38" t="str">
        <f t="shared" si="20"/>
        <v>15</v>
      </c>
      <c r="C677" s="39" t="str">
        <f>+_xlfn.XLOOKUP(A677,Hoja3!$C$3:$C$1124,Hoja3!$B$3:$B$1124)</f>
        <v>BOYACÁ</v>
      </c>
      <c r="D677" s="40" t="str">
        <f t="shared" si="21"/>
        <v>522</v>
      </c>
      <c r="E677" s="39" t="str">
        <f>+_xlfn.XLOOKUP(A677,Hoja3!$C$3:$C$1124,Hoja3!$D$3:$D$1124)</f>
        <v>PANQUEBA</v>
      </c>
      <c r="F677" s="41">
        <v>44050</v>
      </c>
    </row>
    <row r="678" spans="1:6" x14ac:dyDescent="0.25">
      <c r="A678" s="38" t="s">
        <v>2104</v>
      </c>
      <c r="B678" s="38" t="str">
        <f t="shared" si="20"/>
        <v>68</v>
      </c>
      <c r="C678" s="39" t="str">
        <f>+_xlfn.XLOOKUP(A678,Hoja3!$C$3:$C$1124,Hoja3!$B$3:$B$1124)</f>
        <v>SANTANDER</v>
      </c>
      <c r="D678" s="40" t="str">
        <f t="shared" si="21"/>
        <v>522</v>
      </c>
      <c r="E678" s="39" t="str">
        <f>+_xlfn.XLOOKUP(A678,Hoja3!$C$3:$C$1124,Hoja3!$D$3:$D$1124)</f>
        <v>PALMAR</v>
      </c>
      <c r="F678" s="42">
        <v>45658</v>
      </c>
    </row>
    <row r="679" spans="1:6" x14ac:dyDescent="0.25">
      <c r="A679" s="37" t="s">
        <v>934</v>
      </c>
      <c r="B679" s="38" t="str">
        <f t="shared" si="20"/>
        <v>70</v>
      </c>
      <c r="C679" s="39" t="str">
        <f>+_xlfn.XLOOKUP(A679,Hoja3!$C$3:$C$1124,Hoja3!$B$3:$B$1124)</f>
        <v>SUCRE</v>
      </c>
      <c r="D679" s="40" t="str">
        <f t="shared" si="21"/>
        <v>523</v>
      </c>
      <c r="E679" s="39" t="str">
        <f>+_xlfn.XLOOKUP(A679,Hoja3!$C$3:$C$1124,Hoja3!$D$3:$D$1124)</f>
        <v>PALMITO</v>
      </c>
      <c r="F679" s="41">
        <v>43985</v>
      </c>
    </row>
    <row r="680" spans="1:6" x14ac:dyDescent="0.25">
      <c r="A680" s="37" t="s">
        <v>322</v>
      </c>
      <c r="B680" s="38" t="str">
        <f t="shared" si="20"/>
        <v>17</v>
      </c>
      <c r="C680" s="39" t="str">
        <f>+_xlfn.XLOOKUP(A680,Hoja3!$C$3:$C$1124,Hoja3!$B$3:$B$1124)</f>
        <v>CALDAS</v>
      </c>
      <c r="D680" s="40" t="str">
        <f t="shared" si="21"/>
        <v>524</v>
      </c>
      <c r="E680" s="39" t="str">
        <f>+_xlfn.XLOOKUP(A680,Hoja3!$C$3:$C$1124,Hoja3!$D$3:$D$1124)</f>
        <v>PALESTINA</v>
      </c>
      <c r="F680" s="41">
        <v>44019</v>
      </c>
    </row>
    <row r="681" spans="1:6" x14ac:dyDescent="0.25">
      <c r="A681" s="37" t="s">
        <v>541</v>
      </c>
      <c r="B681" s="38" t="str">
        <f t="shared" si="20"/>
        <v>25</v>
      </c>
      <c r="C681" s="39" t="str">
        <f>+_xlfn.XLOOKUP(A681,Hoja3!$C$3:$C$1124,Hoja3!$B$3:$B$1124)</f>
        <v>CUNDINAMARCA</v>
      </c>
      <c r="D681" s="40" t="str">
        <f t="shared" si="21"/>
        <v>524</v>
      </c>
      <c r="E681" s="39" t="str">
        <f>+_xlfn.XLOOKUP(A681,Hoja3!$C$3:$C$1124,Hoja3!$D$3:$D$1124)</f>
        <v>PANDI</v>
      </c>
      <c r="F681" s="41">
        <v>44021</v>
      </c>
    </row>
    <row r="682" spans="1:6" x14ac:dyDescent="0.25">
      <c r="A682" s="37" t="s">
        <v>616</v>
      </c>
      <c r="B682" s="38" t="str">
        <f t="shared" si="20"/>
        <v>41</v>
      </c>
      <c r="C682" s="39" t="str">
        <f>+_xlfn.XLOOKUP(A682,Hoja3!$C$3:$C$1124,Hoja3!$B$3:$B$1124)</f>
        <v>HUILA</v>
      </c>
      <c r="D682" s="40" t="str">
        <f t="shared" si="21"/>
        <v>524</v>
      </c>
      <c r="E682" s="39" t="str">
        <f>+_xlfn.XLOOKUP(A682,Hoja3!$C$3:$C$1124,Hoja3!$D$3:$D$1124)</f>
        <v>PALERMO</v>
      </c>
      <c r="F682" s="41">
        <v>43908</v>
      </c>
    </row>
    <row r="683" spans="1:6" x14ac:dyDescent="0.25">
      <c r="A683" s="37" t="s">
        <v>1033</v>
      </c>
      <c r="B683" s="38" t="str">
        <f t="shared" si="20"/>
        <v>99</v>
      </c>
      <c r="C683" s="39" t="str">
        <f>+_xlfn.XLOOKUP(A683,Hoja3!$C$3:$C$1124,Hoja3!$B$3:$B$1124)</f>
        <v>VICHADA</v>
      </c>
      <c r="D683" s="40" t="str">
        <f t="shared" si="21"/>
        <v>524</v>
      </c>
      <c r="E683" s="39" t="str">
        <f>+_xlfn.XLOOKUP(A683,Hoja3!$C$3:$C$1124,Hoja3!$D$3:$D$1124)</f>
        <v>LA PRIMAVERA</v>
      </c>
      <c r="F683" s="41">
        <v>44027</v>
      </c>
    </row>
    <row r="684" spans="1:6" x14ac:dyDescent="0.25">
      <c r="A684" s="38" t="s">
        <v>2103</v>
      </c>
      <c r="B684" s="38" t="str">
        <f t="shared" si="20"/>
        <v>68</v>
      </c>
      <c r="C684" s="39" t="str">
        <f>+_xlfn.XLOOKUP(A684,Hoja3!$C$3:$C$1124,Hoja3!$B$3:$B$1124)</f>
        <v>SANTANDER</v>
      </c>
      <c r="D684" s="40" t="str">
        <f t="shared" si="21"/>
        <v>524</v>
      </c>
      <c r="E684" s="39" t="str">
        <f>+_xlfn.XLOOKUP(A684,Hoja3!$C$3:$C$1124,Hoja3!$D$3:$D$1124)</f>
        <v>PALMAS DEL SOCORRO</v>
      </c>
      <c r="F684" s="42">
        <v>45658</v>
      </c>
    </row>
    <row r="685" spans="1:6" x14ac:dyDescent="0.25">
      <c r="A685" s="37" t="s">
        <v>542</v>
      </c>
      <c r="B685" s="38" t="str">
        <f t="shared" si="20"/>
        <v>25</v>
      </c>
      <c r="C685" s="39" t="str">
        <f>+_xlfn.XLOOKUP(A685,Hoja3!$C$3:$C$1124,Hoja3!$B$3:$B$1124)</f>
        <v>CUNDINAMARCA</v>
      </c>
      <c r="D685" s="40" t="str">
        <f t="shared" si="21"/>
        <v>530</v>
      </c>
      <c r="E685" s="39" t="str">
        <f>+_xlfn.XLOOKUP(A685,Hoja3!$C$3:$C$1124,Hoja3!$D$3:$D$1124)</f>
        <v>PARATEBUENO</v>
      </c>
      <c r="F685" s="41">
        <v>44046</v>
      </c>
    </row>
    <row r="686" spans="1:6" x14ac:dyDescent="0.25">
      <c r="A686" s="37" t="s">
        <v>617</v>
      </c>
      <c r="B686" s="38" t="str">
        <f t="shared" si="20"/>
        <v>41</v>
      </c>
      <c r="C686" s="39" t="str">
        <f>+_xlfn.XLOOKUP(A686,Hoja3!$C$3:$C$1124,Hoja3!$B$3:$B$1124)</f>
        <v>HUILA</v>
      </c>
      <c r="D686" s="40" t="str">
        <f t="shared" si="21"/>
        <v>530</v>
      </c>
      <c r="E686" s="39" t="str">
        <f>+_xlfn.XLOOKUP(A686,Hoja3!$C$3:$C$1124,Hoja3!$D$3:$D$1124)</f>
        <v>PALESTINA</v>
      </c>
      <c r="F686" s="41">
        <v>43965</v>
      </c>
    </row>
    <row r="687" spans="1:6" x14ac:dyDescent="0.25">
      <c r="A687" s="38" t="s">
        <v>2046</v>
      </c>
      <c r="B687" s="38" t="str">
        <f t="shared" si="20"/>
        <v>91</v>
      </c>
      <c r="C687" s="39" t="str">
        <f>+_xlfn.XLOOKUP(A687,Hoja3!$C$3:$C$1124,Hoja3!$B$3:$B$1124)</f>
        <v>AMAZONAS</v>
      </c>
      <c r="D687" s="40" t="str">
        <f t="shared" si="21"/>
        <v>530</v>
      </c>
      <c r="E687" s="39" t="str">
        <f>+_xlfn.XLOOKUP(A687,Hoja3!$C$3:$C$1124,Hoja3!$D$3:$D$1124)</f>
        <v>PUERTO ALEGRÍA</v>
      </c>
      <c r="F687" s="42">
        <v>45658</v>
      </c>
    </row>
    <row r="688" spans="1:6" x14ac:dyDescent="0.25">
      <c r="A688" s="37" t="s">
        <v>261</v>
      </c>
      <c r="B688" s="38" t="str">
        <f t="shared" si="20"/>
        <v>15</v>
      </c>
      <c r="C688" s="39" t="str">
        <f>+_xlfn.XLOOKUP(A688,Hoja3!$C$3:$C$1124,Hoja3!$B$3:$B$1124)</f>
        <v>BOYACÁ</v>
      </c>
      <c r="D688" s="40" t="str">
        <f t="shared" si="21"/>
        <v>531</v>
      </c>
      <c r="E688" s="39" t="str">
        <f>+_xlfn.XLOOKUP(A688,Hoja3!$C$3:$C$1124,Hoja3!$D$3:$D$1124)</f>
        <v>PAUNA</v>
      </c>
      <c r="F688" s="41">
        <v>43968</v>
      </c>
    </row>
    <row r="689" spans="1:6" x14ac:dyDescent="0.25">
      <c r="A689" s="37" t="s">
        <v>385</v>
      </c>
      <c r="B689" s="38" t="str">
        <f t="shared" si="20"/>
        <v>19</v>
      </c>
      <c r="C689" s="39" t="str">
        <f>+_xlfn.XLOOKUP(A689,Hoja3!$C$3:$C$1124,Hoja3!$B$3:$B$1124)</f>
        <v>CAUCA</v>
      </c>
      <c r="D689" s="40" t="str">
        <f t="shared" si="21"/>
        <v>532</v>
      </c>
      <c r="E689" s="39" t="str">
        <f>+_xlfn.XLOOKUP(A689,Hoja3!$C$3:$C$1124,Hoja3!$D$3:$D$1124)</f>
        <v>PATÍA</v>
      </c>
      <c r="F689" s="41">
        <v>43968</v>
      </c>
    </row>
    <row r="690" spans="1:6" x14ac:dyDescent="0.25">
      <c r="A690" s="37" t="s">
        <v>386</v>
      </c>
      <c r="B690" s="38" t="str">
        <f t="shared" si="20"/>
        <v>19</v>
      </c>
      <c r="C690" s="39" t="str">
        <f>+_xlfn.XLOOKUP(A690,Hoja3!$C$3:$C$1124,Hoja3!$B$3:$B$1124)</f>
        <v>CAUCA</v>
      </c>
      <c r="D690" s="40" t="str">
        <f t="shared" si="21"/>
        <v>533</v>
      </c>
      <c r="E690" s="39" t="str">
        <f>+_xlfn.XLOOKUP(A690,Hoja3!$C$3:$C$1124,Hoja3!$D$3:$D$1124)</f>
        <v>PIAMONTE</v>
      </c>
      <c r="F690" s="41">
        <v>44065</v>
      </c>
    </row>
    <row r="691" spans="1:6" x14ac:dyDescent="0.25">
      <c r="A691" s="37" t="s">
        <v>262</v>
      </c>
      <c r="B691" s="38" t="str">
        <f t="shared" si="20"/>
        <v>15</v>
      </c>
      <c r="C691" s="39" t="str">
        <f>+_xlfn.XLOOKUP(A691,Hoja3!$C$3:$C$1124,Hoja3!$B$3:$B$1124)</f>
        <v>BOYACÁ</v>
      </c>
      <c r="D691" s="40" t="str">
        <f t="shared" si="21"/>
        <v>533</v>
      </c>
      <c r="E691" s="39" t="str">
        <f>+_xlfn.XLOOKUP(A691,Hoja3!$C$3:$C$1124,Hoja3!$D$3:$D$1124)</f>
        <v>PAYA</v>
      </c>
      <c r="F691" s="41">
        <v>43965</v>
      </c>
    </row>
    <row r="692" spans="1:6" x14ac:dyDescent="0.25">
      <c r="A692" s="37" t="s">
        <v>894</v>
      </c>
      <c r="B692" s="38" t="str">
        <f t="shared" si="20"/>
        <v>68</v>
      </c>
      <c r="C692" s="39" t="str">
        <f>+_xlfn.XLOOKUP(A692,Hoja3!$C$3:$C$1124,Hoja3!$B$3:$B$1124)</f>
        <v>SANTANDER</v>
      </c>
      <c r="D692" s="40" t="str">
        <f t="shared" si="21"/>
        <v>533</v>
      </c>
      <c r="E692" s="39" t="str">
        <f>+_xlfn.XLOOKUP(A692,Hoja3!$C$3:$C$1124,Hoja3!$D$3:$D$1124)</f>
        <v>PÁRAMO</v>
      </c>
      <c r="F692" s="41">
        <v>44025</v>
      </c>
    </row>
    <row r="693" spans="1:6" x14ac:dyDescent="0.25">
      <c r="A693" s="37" t="s">
        <v>543</v>
      </c>
      <c r="B693" s="38" t="str">
        <f t="shared" si="20"/>
        <v>25</v>
      </c>
      <c r="C693" s="39" t="str">
        <f>+_xlfn.XLOOKUP(A693,Hoja3!$C$3:$C$1124,Hoja3!$B$3:$B$1124)</f>
        <v>CUNDINAMARCA</v>
      </c>
      <c r="D693" s="40" t="str">
        <f t="shared" si="21"/>
        <v>535</v>
      </c>
      <c r="E693" s="39" t="str">
        <f>+_xlfn.XLOOKUP(A693,Hoja3!$C$3:$C$1124,Hoja3!$D$3:$D$1124)</f>
        <v>PASCA</v>
      </c>
      <c r="F693" s="41">
        <v>43963</v>
      </c>
    </row>
    <row r="694" spans="1:6" x14ac:dyDescent="0.25">
      <c r="A694" s="38" t="s">
        <v>2042</v>
      </c>
      <c r="B694" s="38" t="str">
        <f t="shared" si="20"/>
        <v>91</v>
      </c>
      <c r="C694" s="39" t="str">
        <f>+_xlfn.XLOOKUP(A694,Hoja3!$C$3:$C$1124,Hoja3!$B$3:$B$1124)</f>
        <v>AMAZONAS</v>
      </c>
      <c r="D694" s="40" t="str">
        <f t="shared" si="21"/>
        <v>536</v>
      </c>
      <c r="E694" s="39" t="str">
        <f>+_xlfn.XLOOKUP(A694,Hoja3!$C$3:$C$1124,Hoja3!$D$3:$D$1124)</f>
        <v>PUERTO ARICA</v>
      </c>
      <c r="F694" s="42">
        <v>45658</v>
      </c>
    </row>
    <row r="695" spans="1:6" x14ac:dyDescent="0.25">
      <c r="A695" s="37" t="s">
        <v>263</v>
      </c>
      <c r="B695" s="38" t="str">
        <f t="shared" si="20"/>
        <v>15</v>
      </c>
      <c r="C695" s="39" t="str">
        <f>+_xlfn.XLOOKUP(A695,Hoja3!$C$3:$C$1124,Hoja3!$B$3:$B$1124)</f>
        <v>BOYACÁ</v>
      </c>
      <c r="D695" s="40" t="str">
        <f t="shared" si="21"/>
        <v>537</v>
      </c>
      <c r="E695" s="39" t="str">
        <f>+_xlfn.XLOOKUP(A695,Hoja3!$C$3:$C$1124,Hoja3!$D$3:$D$1124)</f>
        <v>PAZ DE RÍO</v>
      </c>
      <c r="F695" s="41">
        <v>44045</v>
      </c>
    </row>
    <row r="696" spans="1:6" x14ac:dyDescent="0.25">
      <c r="A696" s="37" t="s">
        <v>3</v>
      </c>
      <c r="B696" s="38" t="str">
        <f t="shared" si="20"/>
        <v>91</v>
      </c>
      <c r="C696" s="39" t="str">
        <f>+_xlfn.XLOOKUP(A696,Hoja3!$C$3:$C$1124,Hoja3!$B$3:$B$1124)</f>
        <v>AMAZONAS</v>
      </c>
      <c r="D696" s="40" t="str">
        <f t="shared" si="21"/>
        <v>540</v>
      </c>
      <c r="E696" s="39" t="str">
        <f>+_xlfn.XLOOKUP(A696,Hoja3!$C$3:$C$1124,Hoja3!$D$3:$D$1124)</f>
        <v>PUERTO NARIÑO</v>
      </c>
      <c r="F696" s="41">
        <v>43936</v>
      </c>
    </row>
    <row r="697" spans="1:6" x14ac:dyDescent="0.25">
      <c r="A697" s="37" t="s">
        <v>744</v>
      </c>
      <c r="B697" s="38" t="str">
        <f t="shared" si="20"/>
        <v>52</v>
      </c>
      <c r="C697" s="39" t="str">
        <f>+_xlfn.XLOOKUP(A697,Hoja3!$C$3:$C$1124,Hoja3!$B$3:$B$1124)</f>
        <v>NARIÑO</v>
      </c>
      <c r="D697" s="40" t="str">
        <f t="shared" si="21"/>
        <v>540</v>
      </c>
      <c r="E697" s="39" t="str">
        <f>+_xlfn.XLOOKUP(A697,Hoja3!$C$3:$C$1124,Hoja3!$D$3:$D$1124)</f>
        <v>POLICARPA</v>
      </c>
      <c r="F697" s="41">
        <v>44053</v>
      </c>
    </row>
    <row r="698" spans="1:6" x14ac:dyDescent="0.25">
      <c r="A698" s="37" t="s">
        <v>81</v>
      </c>
      <c r="B698" s="38" t="str">
        <f t="shared" si="20"/>
        <v>05</v>
      </c>
      <c r="C698" s="39" t="str">
        <f>+_xlfn.XLOOKUP(A698,Hoja3!$C$3:$C$1124,Hoja3!$B$3:$B$1124)</f>
        <v>ANTIOQUIA</v>
      </c>
      <c r="D698" s="40" t="str">
        <f t="shared" si="21"/>
        <v>541</v>
      </c>
      <c r="E698" s="39" t="str">
        <f>+_xlfn.XLOOKUP(A698,Hoja3!$C$3:$C$1124,Hoja3!$D$3:$D$1124)</f>
        <v>PEÑOL</v>
      </c>
      <c r="F698" s="41">
        <v>44021</v>
      </c>
    </row>
    <row r="699" spans="1:6" x14ac:dyDescent="0.25">
      <c r="A699" s="37" t="s">
        <v>323</v>
      </c>
      <c r="B699" s="38" t="str">
        <f t="shared" si="20"/>
        <v>17</v>
      </c>
      <c r="C699" s="39" t="str">
        <f>+_xlfn.XLOOKUP(A699,Hoja3!$C$3:$C$1124,Hoja3!$B$3:$B$1124)</f>
        <v>CALDAS</v>
      </c>
      <c r="D699" s="40" t="str">
        <f t="shared" si="21"/>
        <v>541</v>
      </c>
      <c r="E699" s="39" t="str">
        <f>+_xlfn.XLOOKUP(A699,Hoja3!$C$3:$C$1124,Hoja3!$D$3:$D$1124)</f>
        <v>PENSILVANIA</v>
      </c>
      <c r="F699" s="41">
        <v>44031</v>
      </c>
    </row>
    <row r="700" spans="1:6" x14ac:dyDescent="0.25">
      <c r="A700" s="37" t="s">
        <v>660</v>
      </c>
      <c r="B700" s="38" t="str">
        <f t="shared" si="20"/>
        <v>47</v>
      </c>
      <c r="C700" s="39" t="str">
        <f>+_xlfn.XLOOKUP(A700,Hoja3!$C$3:$C$1124,Hoja3!$B$3:$B$1124)</f>
        <v>MAGDALENA</v>
      </c>
      <c r="D700" s="40" t="str">
        <f t="shared" si="21"/>
        <v>541</v>
      </c>
      <c r="E700" s="39" t="str">
        <f>+_xlfn.XLOOKUP(A700,Hoja3!$C$3:$C$1124,Hoja3!$D$3:$D$1124)</f>
        <v>PEDRAZA</v>
      </c>
      <c r="F700" s="41">
        <v>44005</v>
      </c>
    </row>
    <row r="701" spans="1:6" x14ac:dyDescent="0.25">
      <c r="A701" s="37" t="s">
        <v>264</v>
      </c>
      <c r="B701" s="38" t="str">
        <f t="shared" si="20"/>
        <v>15</v>
      </c>
      <c r="C701" s="39" t="str">
        <f>+_xlfn.XLOOKUP(A701,Hoja3!$C$3:$C$1124,Hoja3!$B$3:$B$1124)</f>
        <v>BOYACÁ</v>
      </c>
      <c r="D701" s="40" t="str">
        <f t="shared" si="21"/>
        <v>542</v>
      </c>
      <c r="E701" s="39" t="str">
        <f>+_xlfn.XLOOKUP(A701,Hoja3!$C$3:$C$1124,Hoja3!$D$3:$D$1124)</f>
        <v>PESCA</v>
      </c>
      <c r="F701" s="41">
        <v>44039</v>
      </c>
    </row>
    <row r="702" spans="1:6" x14ac:dyDescent="0.25">
      <c r="A702" s="37" t="s">
        <v>82</v>
      </c>
      <c r="B702" s="38" t="str">
        <f t="shared" si="20"/>
        <v>05</v>
      </c>
      <c r="C702" s="39" t="str">
        <f>+_xlfn.XLOOKUP(A702,Hoja3!$C$3:$C$1124,Hoja3!$B$3:$B$1124)</f>
        <v>ANTIOQUIA</v>
      </c>
      <c r="D702" s="40" t="str">
        <f t="shared" si="21"/>
        <v>543</v>
      </c>
      <c r="E702" s="39" t="str">
        <f>+_xlfn.XLOOKUP(A702,Hoja3!$C$3:$C$1124,Hoja3!$D$3:$D$1124)</f>
        <v>PEQUE</v>
      </c>
      <c r="F702" s="41">
        <v>44015</v>
      </c>
    </row>
    <row r="703" spans="1:6" x14ac:dyDescent="0.25">
      <c r="A703" s="37" t="s">
        <v>661</v>
      </c>
      <c r="B703" s="38" t="str">
        <f t="shared" si="20"/>
        <v>47</v>
      </c>
      <c r="C703" s="39" t="str">
        <f>+_xlfn.XLOOKUP(A703,Hoja3!$C$3:$C$1124,Hoja3!$B$3:$B$1124)</f>
        <v>MAGDALENA</v>
      </c>
      <c r="D703" s="40" t="str">
        <f t="shared" si="21"/>
        <v>545</v>
      </c>
      <c r="E703" s="39" t="str">
        <f>+_xlfn.XLOOKUP(A703,Hoja3!$C$3:$C$1124,Hoja3!$D$3:$D$1124)</f>
        <v>PIJIÑO DEL CARMEN</v>
      </c>
      <c r="F703" s="41">
        <v>43998</v>
      </c>
    </row>
    <row r="704" spans="1:6" x14ac:dyDescent="0.25">
      <c r="A704" s="37" t="s">
        <v>895</v>
      </c>
      <c r="B704" s="38" t="str">
        <f t="shared" si="20"/>
        <v>68</v>
      </c>
      <c r="C704" s="39" t="str">
        <f>+_xlfn.XLOOKUP(A704,Hoja3!$C$3:$C$1124,Hoja3!$B$3:$B$1124)</f>
        <v>SANTANDER</v>
      </c>
      <c r="D704" s="40" t="str">
        <f t="shared" si="21"/>
        <v>547</v>
      </c>
      <c r="E704" s="39" t="str">
        <f>+_xlfn.XLOOKUP(A704,Hoja3!$C$3:$C$1124,Hoja3!$D$3:$D$1124)</f>
        <v>PIEDECUESTA</v>
      </c>
      <c r="F704" s="41">
        <v>43921</v>
      </c>
    </row>
    <row r="705" spans="1:6" x14ac:dyDescent="0.25">
      <c r="A705" s="37" t="s">
        <v>974</v>
      </c>
      <c r="B705" s="38" t="str">
        <f t="shared" si="20"/>
        <v>73</v>
      </c>
      <c r="C705" s="39" t="str">
        <f>+_xlfn.XLOOKUP(A705,Hoja3!$C$3:$C$1124,Hoja3!$B$3:$B$1124)</f>
        <v>TOLIMA</v>
      </c>
      <c r="D705" s="40" t="str">
        <f t="shared" si="21"/>
        <v>547</v>
      </c>
      <c r="E705" s="39" t="str">
        <f>+_xlfn.XLOOKUP(A705,Hoja3!$C$3:$C$1124,Hoja3!$D$3:$D$1124)</f>
        <v>PIEDRAS</v>
      </c>
      <c r="F705" s="41">
        <v>43958</v>
      </c>
    </row>
    <row r="706" spans="1:6" x14ac:dyDescent="0.25">
      <c r="A706" s="37" t="s">
        <v>2017</v>
      </c>
      <c r="B706" s="38" t="str">
        <f t="shared" ref="B706:B769" si="22">MID(A706,1,2)</f>
        <v>19</v>
      </c>
      <c r="C706" s="39" t="str">
        <f>+_xlfn.XLOOKUP(A706,Hoja3!$C$3:$C$1124,Hoja3!$B$3:$B$1124)</f>
        <v>CAUCA</v>
      </c>
      <c r="D706" s="40" t="str">
        <f t="shared" ref="D706:D769" si="23">MID(A706,3,3)</f>
        <v>548</v>
      </c>
      <c r="E706" s="39" t="str">
        <f>+_xlfn.XLOOKUP(A706,Hoja3!$C$3:$C$1124,Hoja3!$D$3:$D$1124)</f>
        <v>PIENDAMÓ - TUNÍA</v>
      </c>
      <c r="F706" s="41">
        <v>43941</v>
      </c>
    </row>
    <row r="707" spans="1:6" x14ac:dyDescent="0.25">
      <c r="A707" s="37" t="s">
        <v>618</v>
      </c>
      <c r="B707" s="38" t="str">
        <f t="shared" si="22"/>
        <v>41</v>
      </c>
      <c r="C707" s="39" t="str">
        <f>+_xlfn.XLOOKUP(A707,Hoja3!$C$3:$C$1124,Hoja3!$B$3:$B$1124)</f>
        <v>HUILA</v>
      </c>
      <c r="D707" s="40" t="str">
        <f t="shared" si="23"/>
        <v>548</v>
      </c>
      <c r="E707" s="39" t="str">
        <f>+_xlfn.XLOOKUP(A707,Hoja3!$C$3:$C$1124,Hoja3!$D$3:$D$1124)</f>
        <v>PITAL</v>
      </c>
      <c r="F707" s="41">
        <v>44013</v>
      </c>
    </row>
    <row r="708" spans="1:6" x14ac:dyDescent="0.25">
      <c r="A708" s="37" t="s">
        <v>825</v>
      </c>
      <c r="B708" s="38" t="str">
        <f t="shared" si="22"/>
        <v>63</v>
      </c>
      <c r="C708" s="39" t="str">
        <f>+_xlfn.XLOOKUP(A708,Hoja3!$C$3:$C$1124,Hoja3!$B$3:$B$1124)</f>
        <v>QUINDÍO</v>
      </c>
      <c r="D708" s="40" t="str">
        <f t="shared" si="23"/>
        <v>548</v>
      </c>
      <c r="E708" s="39" t="str">
        <f>+_xlfn.XLOOKUP(A708,Hoja3!$C$3:$C$1124,Hoja3!$D$3:$D$1124)</f>
        <v>PIJAO</v>
      </c>
      <c r="F708" s="41">
        <v>44048</v>
      </c>
    </row>
    <row r="709" spans="1:6" x14ac:dyDescent="0.25">
      <c r="A709" s="37" t="s">
        <v>145</v>
      </c>
      <c r="B709" s="38" t="str">
        <f t="shared" si="22"/>
        <v>08</v>
      </c>
      <c r="C709" s="39" t="str">
        <f>+_xlfn.XLOOKUP(A709,Hoja3!$C$3:$C$1124,Hoja3!$B$3:$B$1124)</f>
        <v>ATLÁNTICO</v>
      </c>
      <c r="D709" s="40" t="str">
        <f t="shared" si="23"/>
        <v>549</v>
      </c>
      <c r="E709" s="39" t="str">
        <f>+_xlfn.XLOOKUP(A709,Hoja3!$C$3:$C$1124,Hoja3!$D$3:$D$1124)</f>
        <v>PIOJÓ</v>
      </c>
      <c r="F709" s="41">
        <v>43965</v>
      </c>
    </row>
    <row r="710" spans="1:6" x14ac:dyDescent="0.25">
      <c r="A710" s="37" t="s">
        <v>183</v>
      </c>
      <c r="B710" s="38" t="str">
        <f t="shared" si="22"/>
        <v>13</v>
      </c>
      <c r="C710" s="39" t="str">
        <f>+_xlfn.XLOOKUP(A710,Hoja3!$C$3:$C$1124,Hoja3!$B$3:$B$1124)</f>
        <v>BOLÍVAR</v>
      </c>
      <c r="D710" s="40" t="str">
        <f t="shared" si="23"/>
        <v>549</v>
      </c>
      <c r="E710" s="39" t="str">
        <f>+_xlfn.XLOOKUP(A710,Hoja3!$C$3:$C$1124,Hoja3!$D$3:$D$1124)</f>
        <v>PINILLOS</v>
      </c>
      <c r="F710" s="41">
        <v>43984</v>
      </c>
    </row>
    <row r="711" spans="1:6" x14ac:dyDescent="0.25">
      <c r="A711" s="37" t="s">
        <v>896</v>
      </c>
      <c r="B711" s="38" t="str">
        <f t="shared" si="22"/>
        <v>68</v>
      </c>
      <c r="C711" s="39" t="str">
        <f>+_xlfn.XLOOKUP(A711,Hoja3!$C$3:$C$1124,Hoja3!$B$3:$B$1124)</f>
        <v>SANTANDER</v>
      </c>
      <c r="D711" s="40" t="str">
        <f t="shared" si="23"/>
        <v>549</v>
      </c>
      <c r="E711" s="39" t="str">
        <f>+_xlfn.XLOOKUP(A711,Hoja3!$C$3:$C$1124,Hoja3!$D$3:$D$1124)</f>
        <v>PINCHOTE</v>
      </c>
      <c r="F711" s="41">
        <v>44022</v>
      </c>
    </row>
    <row r="712" spans="1:6" x14ac:dyDescent="0.25">
      <c r="A712" s="37" t="s">
        <v>418</v>
      </c>
      <c r="B712" s="38" t="str">
        <f t="shared" si="22"/>
        <v>20</v>
      </c>
      <c r="C712" s="39" t="str">
        <f>+_xlfn.XLOOKUP(A712,Hoja3!$C$3:$C$1124,Hoja3!$B$3:$B$1124)</f>
        <v>CESAR</v>
      </c>
      <c r="D712" s="40" t="str">
        <f t="shared" si="23"/>
        <v>550</v>
      </c>
      <c r="E712" s="39" t="str">
        <f>+_xlfn.XLOOKUP(A712,Hoja3!$C$3:$C$1124,Hoja3!$D$3:$D$1124)</f>
        <v>PELAYA</v>
      </c>
      <c r="F712" s="41">
        <v>43982</v>
      </c>
    </row>
    <row r="713" spans="1:6" x14ac:dyDescent="0.25">
      <c r="A713" s="38" t="s">
        <v>2067</v>
      </c>
      <c r="B713" s="38" t="str">
        <f t="shared" si="22"/>
        <v>15</v>
      </c>
      <c r="C713" s="39" t="str">
        <f>+_xlfn.XLOOKUP(A713,Hoja3!$C$3:$C$1124,Hoja3!$B$3:$B$1124)</f>
        <v>BOYACÁ</v>
      </c>
      <c r="D713" s="40" t="str">
        <f t="shared" si="23"/>
        <v>550</v>
      </c>
      <c r="E713" s="39" t="str">
        <f>+_xlfn.XLOOKUP(A713,Hoja3!$C$3:$C$1124,Hoja3!$D$3:$D$1124)</f>
        <v>PISBA</v>
      </c>
      <c r="F713" s="42">
        <v>45658</v>
      </c>
    </row>
    <row r="714" spans="1:6" x14ac:dyDescent="0.25">
      <c r="A714" s="37" t="s">
        <v>619</v>
      </c>
      <c r="B714" s="38" t="str">
        <f t="shared" si="22"/>
        <v>41</v>
      </c>
      <c r="C714" s="39" t="str">
        <f>+_xlfn.XLOOKUP(A714,Hoja3!$C$3:$C$1124,Hoja3!$B$3:$B$1124)</f>
        <v>HUILA</v>
      </c>
      <c r="D714" s="40" t="str">
        <f t="shared" si="23"/>
        <v>551</v>
      </c>
      <c r="E714" s="39" t="str">
        <f>+_xlfn.XLOOKUP(A714,Hoja3!$C$3:$C$1124,Hoja3!$D$3:$D$1124)</f>
        <v>PITALITO</v>
      </c>
      <c r="F714" s="41">
        <v>43916</v>
      </c>
    </row>
    <row r="715" spans="1:6" x14ac:dyDescent="0.25">
      <c r="A715" s="37" t="s">
        <v>662</v>
      </c>
      <c r="B715" s="38" t="str">
        <f t="shared" si="22"/>
        <v>47</v>
      </c>
      <c r="C715" s="39" t="str">
        <f>+_xlfn.XLOOKUP(A715,Hoja3!$C$3:$C$1124,Hoja3!$B$3:$B$1124)</f>
        <v>MAGDALENA</v>
      </c>
      <c r="D715" s="40" t="str">
        <f t="shared" si="23"/>
        <v>551</v>
      </c>
      <c r="E715" s="39" t="str">
        <f>+_xlfn.XLOOKUP(A715,Hoja3!$C$3:$C$1124,Hoja3!$D$3:$D$1124)</f>
        <v>PIVIJAY</v>
      </c>
      <c r="F715" s="41">
        <v>43957</v>
      </c>
    </row>
    <row r="716" spans="1:6" x14ac:dyDescent="0.25">
      <c r="A716" s="37" t="s">
        <v>791</v>
      </c>
      <c r="B716" s="38" t="str">
        <f t="shared" si="22"/>
        <v>54</v>
      </c>
      <c r="C716" s="39" t="str">
        <f>+_xlfn.XLOOKUP(A716,Hoja3!$C$3:$C$1124,Hoja3!$B$3:$B$1124)</f>
        <v>NORTE DE SANTANDER</v>
      </c>
      <c r="D716" s="40" t="str">
        <f t="shared" si="23"/>
        <v>553</v>
      </c>
      <c r="E716" s="39" t="str">
        <f>+_xlfn.XLOOKUP(A716,Hoja3!$C$3:$C$1124,Hoja3!$D$3:$D$1124)</f>
        <v>PUERTO SANTANDER</v>
      </c>
      <c r="F716" s="41">
        <v>43912</v>
      </c>
    </row>
    <row r="717" spans="1:6" x14ac:dyDescent="0.25">
      <c r="A717" s="37" t="s">
        <v>467</v>
      </c>
      <c r="B717" s="38" t="str">
        <f t="shared" si="22"/>
        <v>23</v>
      </c>
      <c r="C717" s="39" t="str">
        <f>+_xlfn.XLOOKUP(A717,Hoja3!$C$3:$C$1124,Hoja3!$B$3:$B$1124)</f>
        <v>CÓRDOBA</v>
      </c>
      <c r="D717" s="40" t="str">
        <f t="shared" si="23"/>
        <v>555</v>
      </c>
      <c r="E717" s="39" t="str">
        <f>+_xlfn.XLOOKUP(A717,Hoja3!$C$3:$C$1124,Hoja3!$D$3:$D$1124)</f>
        <v>PLANETA RICA</v>
      </c>
      <c r="F717" s="41">
        <v>43953</v>
      </c>
    </row>
    <row r="718" spans="1:6" x14ac:dyDescent="0.25">
      <c r="A718" s="37" t="s">
        <v>663</v>
      </c>
      <c r="B718" s="38" t="str">
        <f t="shared" si="22"/>
        <v>47</v>
      </c>
      <c r="C718" s="39" t="str">
        <f>+_xlfn.XLOOKUP(A718,Hoja3!$C$3:$C$1124,Hoja3!$B$3:$B$1124)</f>
        <v>MAGDALENA</v>
      </c>
      <c r="D718" s="40" t="str">
        <f t="shared" si="23"/>
        <v>555</v>
      </c>
      <c r="E718" s="39" t="str">
        <f>+_xlfn.XLOOKUP(A718,Hoja3!$C$3:$C$1124,Hoja3!$D$3:$D$1124)</f>
        <v>PLATO</v>
      </c>
      <c r="F718" s="41">
        <v>43988</v>
      </c>
    </row>
    <row r="719" spans="1:6" x14ac:dyDescent="0.25">
      <c r="A719" s="37" t="s">
        <v>975</v>
      </c>
      <c r="B719" s="38" t="str">
        <f t="shared" si="22"/>
        <v>73</v>
      </c>
      <c r="C719" s="39" t="str">
        <f>+_xlfn.XLOOKUP(A719,Hoja3!$C$3:$C$1124,Hoja3!$B$3:$B$1124)</f>
        <v>TOLIMA</v>
      </c>
      <c r="D719" s="40" t="str">
        <f t="shared" si="23"/>
        <v>555</v>
      </c>
      <c r="E719" s="39" t="str">
        <f>+_xlfn.XLOOKUP(A719,Hoja3!$C$3:$C$1124,Hoja3!$D$3:$D$1124)</f>
        <v>PLANADAS</v>
      </c>
      <c r="F719" s="41">
        <v>43944</v>
      </c>
    </row>
    <row r="720" spans="1:6" x14ac:dyDescent="0.25">
      <c r="A720" s="37" t="s">
        <v>146</v>
      </c>
      <c r="B720" s="38" t="str">
        <f t="shared" si="22"/>
        <v>08</v>
      </c>
      <c r="C720" s="39" t="str">
        <f>+_xlfn.XLOOKUP(A720,Hoja3!$C$3:$C$1124,Hoja3!$B$3:$B$1124)</f>
        <v>ATLÁNTICO</v>
      </c>
      <c r="D720" s="40" t="str">
        <f t="shared" si="23"/>
        <v>558</v>
      </c>
      <c r="E720" s="39" t="str">
        <f>+_xlfn.XLOOKUP(A720,Hoja3!$C$3:$C$1124,Hoja3!$D$3:$D$1124)</f>
        <v>POLONUEVO</v>
      </c>
      <c r="F720" s="41">
        <v>43909</v>
      </c>
    </row>
    <row r="721" spans="1:6" x14ac:dyDescent="0.25">
      <c r="A721" s="37" t="s">
        <v>147</v>
      </c>
      <c r="B721" s="38" t="str">
        <f t="shared" si="22"/>
        <v>08</v>
      </c>
      <c r="C721" s="39" t="str">
        <f>+_xlfn.XLOOKUP(A721,Hoja3!$C$3:$C$1124,Hoja3!$B$3:$B$1124)</f>
        <v>ATLÁNTICO</v>
      </c>
      <c r="D721" s="40" t="str">
        <f t="shared" si="23"/>
        <v>560</v>
      </c>
      <c r="E721" s="39" t="str">
        <f>+_xlfn.XLOOKUP(A721,Hoja3!$C$3:$C$1124,Hoja3!$D$3:$D$1124)</f>
        <v>PONEDERA</v>
      </c>
      <c r="F721" s="41">
        <v>43911</v>
      </c>
    </row>
    <row r="722" spans="1:6" x14ac:dyDescent="0.25">
      <c r="A722" s="37" t="s">
        <v>642</v>
      </c>
      <c r="B722" s="38" t="str">
        <f t="shared" si="22"/>
        <v>44</v>
      </c>
      <c r="C722" s="39" t="str">
        <f>+_xlfn.XLOOKUP(A722,Hoja3!$C$3:$C$1124,Hoja3!$B$3:$B$1124)</f>
        <v>LA GUAJIRA</v>
      </c>
      <c r="D722" s="40" t="str">
        <f t="shared" si="23"/>
        <v>560</v>
      </c>
      <c r="E722" s="39" t="str">
        <f>+_xlfn.XLOOKUP(A722,Hoja3!$C$3:$C$1124,Hoja3!$D$3:$D$1124)</f>
        <v>MANAURE</v>
      </c>
      <c r="F722" s="41">
        <v>43951</v>
      </c>
    </row>
    <row r="723" spans="1:6" x14ac:dyDescent="0.25">
      <c r="A723" s="37" t="s">
        <v>745</v>
      </c>
      <c r="B723" s="38" t="str">
        <f t="shared" si="22"/>
        <v>52</v>
      </c>
      <c r="C723" s="39" t="str">
        <f>+_xlfn.XLOOKUP(A723,Hoja3!$C$3:$C$1124,Hoja3!$B$3:$B$1124)</f>
        <v>NARIÑO</v>
      </c>
      <c r="D723" s="40" t="str">
        <f t="shared" si="23"/>
        <v>560</v>
      </c>
      <c r="E723" s="39" t="str">
        <f>+_xlfn.XLOOKUP(A723,Hoja3!$C$3:$C$1124,Hoja3!$D$3:$D$1124)</f>
        <v>POTOSÍ</v>
      </c>
      <c r="F723" s="41">
        <v>43939</v>
      </c>
    </row>
    <row r="724" spans="1:6" x14ac:dyDescent="0.25">
      <c r="A724" s="37" t="s">
        <v>976</v>
      </c>
      <c r="B724" s="38" t="str">
        <f t="shared" si="22"/>
        <v>73</v>
      </c>
      <c r="C724" s="39" t="str">
        <f>+_xlfn.XLOOKUP(A724,Hoja3!$C$3:$C$1124,Hoja3!$B$3:$B$1124)</f>
        <v>TOLIMA</v>
      </c>
      <c r="D724" s="40" t="str">
        <f t="shared" si="23"/>
        <v>563</v>
      </c>
      <c r="E724" s="39" t="str">
        <f>+_xlfn.XLOOKUP(A724,Hoja3!$C$3:$C$1124,Hoja3!$D$3:$D$1124)</f>
        <v>PRADO</v>
      </c>
      <c r="F724" s="41">
        <v>44034</v>
      </c>
    </row>
    <row r="725" spans="1:6" x14ac:dyDescent="0.25">
      <c r="A725" s="37" t="s">
        <v>1014</v>
      </c>
      <c r="B725" s="38" t="str">
        <f t="shared" si="22"/>
        <v>76</v>
      </c>
      <c r="C725" s="39" t="str">
        <f>+_xlfn.XLOOKUP(A725,Hoja3!$C$3:$C$1124,Hoja3!$B$3:$B$1124)</f>
        <v>VALLE DEL CAUCA</v>
      </c>
      <c r="D725" s="40" t="str">
        <f t="shared" si="23"/>
        <v>563</v>
      </c>
      <c r="E725" s="39" t="str">
        <f>+_xlfn.XLOOKUP(A725,Hoja3!$C$3:$C$1124,Hoja3!$D$3:$D$1124)</f>
        <v>PRADERA</v>
      </c>
      <c r="F725" s="41">
        <v>43952</v>
      </c>
    </row>
    <row r="726" spans="1:6" x14ac:dyDescent="0.25">
      <c r="A726" s="37" t="s">
        <v>135</v>
      </c>
      <c r="B726" s="38" t="str">
        <f t="shared" si="22"/>
        <v>88</v>
      </c>
      <c r="C726" s="39" t="str">
        <f>+_xlfn.XLOOKUP(A726,Hoja3!$C$3:$C$1124,Hoja3!$B$3:$B$1124)</f>
        <v>ARCHIPIÉLAGO DE SAN ANDRÉS, PROVIDENCIA Y SANTA CATALINA</v>
      </c>
      <c r="D726" s="40" t="str">
        <f t="shared" si="23"/>
        <v>564</v>
      </c>
      <c r="E726" s="39" t="str">
        <f>+_xlfn.XLOOKUP(A726,Hoja3!$C$3:$C$1124,Hoja3!$D$3:$D$1124)</f>
        <v>PROVIDENCIA</v>
      </c>
      <c r="F726" s="41">
        <v>43957</v>
      </c>
    </row>
    <row r="727" spans="1:6" x14ac:dyDescent="0.25">
      <c r="A727" s="37" t="s">
        <v>746</v>
      </c>
      <c r="B727" s="38" t="str">
        <f t="shared" si="22"/>
        <v>52</v>
      </c>
      <c r="C727" s="39" t="str">
        <f>+_xlfn.XLOOKUP(A727,Hoja3!$C$3:$C$1124,Hoja3!$B$3:$B$1124)</f>
        <v>NARIÑO</v>
      </c>
      <c r="D727" s="40" t="str">
        <f t="shared" si="23"/>
        <v>565</v>
      </c>
      <c r="E727" s="39" t="str">
        <f>+_xlfn.XLOOKUP(A727,Hoja3!$C$3:$C$1124,Hoja3!$D$3:$D$1124)</f>
        <v>PROVIDENCIA</v>
      </c>
      <c r="F727" s="41">
        <v>44067</v>
      </c>
    </row>
    <row r="728" spans="1:6" x14ac:dyDescent="0.25">
      <c r="A728" s="37" t="s">
        <v>694</v>
      </c>
      <c r="B728" s="38" t="str">
        <f t="shared" si="22"/>
        <v>50</v>
      </c>
      <c r="C728" s="39" t="str">
        <f>+_xlfn.XLOOKUP(A728,Hoja3!$C$3:$C$1124,Hoja3!$B$3:$B$1124)</f>
        <v>META</v>
      </c>
      <c r="D728" s="40" t="str">
        <f t="shared" si="23"/>
        <v>568</v>
      </c>
      <c r="E728" s="39" t="str">
        <f>+_xlfn.XLOOKUP(A728,Hoja3!$C$3:$C$1124,Hoja3!$D$3:$D$1124)</f>
        <v>PUERTO GAITÁN</v>
      </c>
      <c r="F728" s="41">
        <v>43958</v>
      </c>
    </row>
    <row r="729" spans="1:6" x14ac:dyDescent="0.25">
      <c r="A729" s="37" t="s">
        <v>807</v>
      </c>
      <c r="B729" s="38" t="str">
        <f t="shared" si="22"/>
        <v>86</v>
      </c>
      <c r="C729" s="39" t="str">
        <f>+_xlfn.XLOOKUP(A729,Hoja3!$C$3:$C$1124,Hoja3!$B$3:$B$1124)</f>
        <v>PUTUMAYO</v>
      </c>
      <c r="D729" s="40" t="str">
        <f t="shared" si="23"/>
        <v>568</v>
      </c>
      <c r="E729" s="39" t="str">
        <f>+_xlfn.XLOOKUP(A729,Hoja3!$C$3:$C$1124,Hoja3!$D$3:$D$1124)</f>
        <v>PUERTO ASÍS</v>
      </c>
      <c r="F729" s="41">
        <v>43954</v>
      </c>
    </row>
    <row r="730" spans="1:6" x14ac:dyDescent="0.25">
      <c r="A730" s="37" t="s">
        <v>808</v>
      </c>
      <c r="B730" s="38" t="str">
        <f t="shared" si="22"/>
        <v>86</v>
      </c>
      <c r="C730" s="39" t="str">
        <f>+_xlfn.XLOOKUP(A730,Hoja3!$C$3:$C$1124,Hoja3!$B$3:$B$1124)</f>
        <v>PUTUMAYO</v>
      </c>
      <c r="D730" s="40" t="str">
        <f t="shared" si="23"/>
        <v>569</v>
      </c>
      <c r="E730" s="39" t="str">
        <f>+_xlfn.XLOOKUP(A730,Hoja3!$C$3:$C$1124,Hoja3!$D$3:$D$1124)</f>
        <v>PUERTO CAICEDO</v>
      </c>
      <c r="F730" s="41">
        <v>44014</v>
      </c>
    </row>
    <row r="731" spans="1:6" x14ac:dyDescent="0.25">
      <c r="A731" s="37" t="s">
        <v>419</v>
      </c>
      <c r="B731" s="38" t="str">
        <f t="shared" si="22"/>
        <v>20</v>
      </c>
      <c r="C731" s="39" t="str">
        <f>+_xlfn.XLOOKUP(A731,Hoja3!$C$3:$C$1124,Hoja3!$B$3:$B$1124)</f>
        <v>CESAR</v>
      </c>
      <c r="D731" s="40" t="str">
        <f t="shared" si="23"/>
        <v>570</v>
      </c>
      <c r="E731" s="39" t="str">
        <f>+_xlfn.XLOOKUP(A731,Hoja3!$C$3:$C$1124,Hoja3!$D$3:$D$1124)</f>
        <v>PUEBLO BELLO</v>
      </c>
      <c r="F731" s="41">
        <v>43976</v>
      </c>
    </row>
    <row r="732" spans="1:6" x14ac:dyDescent="0.25">
      <c r="A732" s="37" t="s">
        <v>468</v>
      </c>
      <c r="B732" s="38" t="str">
        <f t="shared" si="22"/>
        <v>23</v>
      </c>
      <c r="C732" s="39" t="str">
        <f>+_xlfn.XLOOKUP(A732,Hoja3!$C$3:$C$1124,Hoja3!$B$3:$B$1124)</f>
        <v>CÓRDOBA</v>
      </c>
      <c r="D732" s="40" t="str">
        <f t="shared" si="23"/>
        <v>570</v>
      </c>
      <c r="E732" s="39" t="str">
        <f>+_xlfn.XLOOKUP(A732,Hoja3!$C$3:$C$1124,Hoja3!$D$3:$D$1124)</f>
        <v>PUEBLO NUEVO</v>
      </c>
      <c r="F732" s="41">
        <v>43933</v>
      </c>
    </row>
    <row r="733" spans="1:6" x14ac:dyDescent="0.25">
      <c r="A733" s="37" t="s">
        <v>664</v>
      </c>
      <c r="B733" s="38" t="str">
        <f t="shared" si="22"/>
        <v>47</v>
      </c>
      <c r="C733" s="39" t="str">
        <f>+_xlfn.XLOOKUP(A733,Hoja3!$C$3:$C$1124,Hoja3!$B$3:$B$1124)</f>
        <v>MAGDALENA</v>
      </c>
      <c r="D733" s="40" t="str">
        <f t="shared" si="23"/>
        <v>570</v>
      </c>
      <c r="E733" s="39" t="str">
        <f>+_xlfn.XLOOKUP(A733,Hoja3!$C$3:$C$1124,Hoja3!$D$3:$D$1124)</f>
        <v>PUEBLOVIEJO</v>
      </c>
      <c r="F733" s="41">
        <v>43934</v>
      </c>
    </row>
    <row r="734" spans="1:6" x14ac:dyDescent="0.25">
      <c r="A734" s="37" t="s">
        <v>809</v>
      </c>
      <c r="B734" s="38" t="str">
        <f t="shared" si="22"/>
        <v>86</v>
      </c>
      <c r="C734" s="39" t="str">
        <f>+_xlfn.XLOOKUP(A734,Hoja3!$C$3:$C$1124,Hoja3!$B$3:$B$1124)</f>
        <v>PUTUMAYO</v>
      </c>
      <c r="D734" s="40" t="str">
        <f t="shared" si="23"/>
        <v>571</v>
      </c>
      <c r="E734" s="39" t="str">
        <f>+_xlfn.XLOOKUP(A734,Hoja3!$C$3:$C$1124,Hoja3!$D$3:$D$1124)</f>
        <v>PUERTO GUZMÁN</v>
      </c>
      <c r="F734" s="41">
        <v>43936</v>
      </c>
    </row>
    <row r="735" spans="1:6" x14ac:dyDescent="0.25">
      <c r="A735" s="37" t="s">
        <v>265</v>
      </c>
      <c r="B735" s="38" t="str">
        <f t="shared" si="22"/>
        <v>15</v>
      </c>
      <c r="C735" s="39" t="str">
        <f>+_xlfn.XLOOKUP(A735,Hoja3!$C$3:$C$1124,Hoja3!$B$3:$B$1124)</f>
        <v>BOYACÁ</v>
      </c>
      <c r="D735" s="40" t="str">
        <f t="shared" si="23"/>
        <v>572</v>
      </c>
      <c r="E735" s="39" t="str">
        <f>+_xlfn.XLOOKUP(A735,Hoja3!$C$3:$C$1124,Hoja3!$D$3:$D$1124)</f>
        <v>PUERTO BOYACÁ</v>
      </c>
      <c r="F735" s="41">
        <v>44004</v>
      </c>
    </row>
    <row r="736" spans="1:6" x14ac:dyDescent="0.25">
      <c r="A736" s="37" t="s">
        <v>544</v>
      </c>
      <c r="B736" s="38" t="str">
        <f t="shared" si="22"/>
        <v>25</v>
      </c>
      <c r="C736" s="39" t="str">
        <f>+_xlfn.XLOOKUP(A736,Hoja3!$C$3:$C$1124,Hoja3!$B$3:$B$1124)</f>
        <v>CUNDINAMARCA</v>
      </c>
      <c r="D736" s="40" t="str">
        <f t="shared" si="23"/>
        <v>572</v>
      </c>
      <c r="E736" s="39" t="str">
        <f>+_xlfn.XLOOKUP(A736,Hoja3!$C$3:$C$1124,Hoja3!$D$3:$D$1124)</f>
        <v>PUERTO SALGAR</v>
      </c>
      <c r="F736" s="41">
        <v>43965</v>
      </c>
    </row>
    <row r="737" spans="1:6" x14ac:dyDescent="0.25">
      <c r="A737" s="37" t="s">
        <v>838</v>
      </c>
      <c r="B737" s="38" t="str">
        <f t="shared" si="22"/>
        <v>66</v>
      </c>
      <c r="C737" s="39" t="str">
        <f>+_xlfn.XLOOKUP(A737,Hoja3!$C$3:$C$1124,Hoja3!$B$3:$B$1124)</f>
        <v>RISARALDA</v>
      </c>
      <c r="D737" s="40" t="str">
        <f t="shared" si="23"/>
        <v>572</v>
      </c>
      <c r="E737" s="39" t="str">
        <f>+_xlfn.XLOOKUP(A737,Hoja3!$C$3:$C$1124,Hoja3!$D$3:$D$1124)</f>
        <v>PUEBLO RICO</v>
      </c>
      <c r="F737" s="41">
        <v>43988</v>
      </c>
    </row>
    <row r="738" spans="1:6" x14ac:dyDescent="0.25">
      <c r="A738" s="37" t="s">
        <v>897</v>
      </c>
      <c r="B738" s="38" t="str">
        <f t="shared" si="22"/>
        <v>68</v>
      </c>
      <c r="C738" s="39" t="str">
        <f>+_xlfn.XLOOKUP(A738,Hoja3!$C$3:$C$1124,Hoja3!$B$3:$B$1124)</f>
        <v>SANTANDER</v>
      </c>
      <c r="D738" s="40" t="str">
        <f t="shared" si="23"/>
        <v>572</v>
      </c>
      <c r="E738" s="39" t="str">
        <f>+_xlfn.XLOOKUP(A738,Hoja3!$C$3:$C$1124,Hoja3!$D$3:$D$1124)</f>
        <v>PUENTE NACIONAL</v>
      </c>
      <c r="F738" s="41">
        <v>44089</v>
      </c>
    </row>
    <row r="739" spans="1:6" x14ac:dyDescent="0.25">
      <c r="A739" s="37" t="s">
        <v>148</v>
      </c>
      <c r="B739" s="38" t="str">
        <f t="shared" si="22"/>
        <v>08</v>
      </c>
      <c r="C739" s="39" t="str">
        <f>+_xlfn.XLOOKUP(A739,Hoja3!$C$3:$C$1124,Hoja3!$B$3:$B$1124)</f>
        <v>ATLÁNTICO</v>
      </c>
      <c r="D739" s="40" t="str">
        <f t="shared" si="23"/>
        <v>573</v>
      </c>
      <c r="E739" s="39" t="str">
        <f>+_xlfn.XLOOKUP(A739,Hoja3!$C$3:$C$1124,Hoja3!$D$3:$D$1124)</f>
        <v>PUERTO COLOMBIA</v>
      </c>
      <c r="F739" s="41">
        <v>43905</v>
      </c>
    </row>
    <row r="740" spans="1:6" x14ac:dyDescent="0.25">
      <c r="A740" s="37" t="s">
        <v>387</v>
      </c>
      <c r="B740" s="38" t="str">
        <f t="shared" si="22"/>
        <v>19</v>
      </c>
      <c r="C740" s="39" t="str">
        <f>+_xlfn.XLOOKUP(A740,Hoja3!$C$3:$C$1124,Hoja3!$B$3:$B$1124)</f>
        <v>CAUCA</v>
      </c>
      <c r="D740" s="40" t="str">
        <f t="shared" si="23"/>
        <v>573</v>
      </c>
      <c r="E740" s="39" t="str">
        <f>+_xlfn.XLOOKUP(A740,Hoja3!$C$3:$C$1124,Hoja3!$D$3:$D$1124)</f>
        <v>PUERTO TEJADA</v>
      </c>
      <c r="F740" s="41">
        <v>43922</v>
      </c>
    </row>
    <row r="741" spans="1:6" x14ac:dyDescent="0.25">
      <c r="A741" s="37" t="s">
        <v>695</v>
      </c>
      <c r="B741" s="38" t="str">
        <f t="shared" si="22"/>
        <v>50</v>
      </c>
      <c r="C741" s="39" t="str">
        <f>+_xlfn.XLOOKUP(A741,Hoja3!$C$3:$C$1124,Hoja3!$B$3:$B$1124)</f>
        <v>META</v>
      </c>
      <c r="D741" s="40" t="str">
        <f t="shared" si="23"/>
        <v>573</v>
      </c>
      <c r="E741" s="39" t="str">
        <f>+_xlfn.XLOOKUP(A741,Hoja3!$C$3:$C$1124,Hoja3!$D$3:$D$1124)</f>
        <v>PUERTO LÓPEZ</v>
      </c>
      <c r="F741" s="41">
        <v>43954</v>
      </c>
    </row>
    <row r="742" spans="1:6" x14ac:dyDescent="0.25">
      <c r="A742" s="37" t="s">
        <v>747</v>
      </c>
      <c r="B742" s="38" t="str">
        <f t="shared" si="22"/>
        <v>52</v>
      </c>
      <c r="C742" s="39" t="str">
        <f>+_xlfn.XLOOKUP(A742,Hoja3!$C$3:$C$1124,Hoja3!$B$3:$B$1124)</f>
        <v>NARIÑO</v>
      </c>
      <c r="D742" s="40" t="str">
        <f t="shared" si="23"/>
        <v>573</v>
      </c>
      <c r="E742" s="39" t="str">
        <f>+_xlfn.XLOOKUP(A742,Hoja3!$C$3:$C$1124,Hoja3!$D$3:$D$1124)</f>
        <v>PUERRES</v>
      </c>
      <c r="F742" s="41">
        <v>43969</v>
      </c>
    </row>
    <row r="743" spans="1:6" x14ac:dyDescent="0.25">
      <c r="A743" s="37" t="s">
        <v>810</v>
      </c>
      <c r="B743" s="38" t="str">
        <f t="shared" si="22"/>
        <v>86</v>
      </c>
      <c r="C743" s="39" t="str">
        <f>+_xlfn.XLOOKUP(A743,Hoja3!$C$3:$C$1124,Hoja3!$B$3:$B$1124)</f>
        <v>PUTUMAYO</v>
      </c>
      <c r="D743" s="40" t="str">
        <f t="shared" si="23"/>
        <v>573</v>
      </c>
      <c r="E743" s="39" t="str">
        <f>+_xlfn.XLOOKUP(A743,Hoja3!$C$3:$C$1124,Hoja3!$D$3:$D$1124)</f>
        <v>PUERTO LEGUÍZAMO</v>
      </c>
      <c r="F743" s="41">
        <v>43950</v>
      </c>
    </row>
    <row r="744" spans="1:6" x14ac:dyDescent="0.25">
      <c r="A744" s="37" t="s">
        <v>898</v>
      </c>
      <c r="B744" s="38" t="str">
        <f t="shared" si="22"/>
        <v>68</v>
      </c>
      <c r="C744" s="39" t="str">
        <f>+_xlfn.XLOOKUP(A744,Hoja3!$C$3:$C$1124,Hoja3!$B$3:$B$1124)</f>
        <v>SANTANDER</v>
      </c>
      <c r="D744" s="40" t="str">
        <f t="shared" si="23"/>
        <v>573</v>
      </c>
      <c r="E744" s="39" t="str">
        <f>+_xlfn.XLOOKUP(A744,Hoja3!$C$3:$C$1124,Hoja3!$D$3:$D$1124)</f>
        <v>PUERTO PARRA</v>
      </c>
      <c r="F744" s="41">
        <v>44002</v>
      </c>
    </row>
    <row r="745" spans="1:6" x14ac:dyDescent="0.25">
      <c r="A745" s="37" t="s">
        <v>469</v>
      </c>
      <c r="B745" s="38" t="str">
        <f t="shared" si="22"/>
        <v>23</v>
      </c>
      <c r="C745" s="39" t="str">
        <f>+_xlfn.XLOOKUP(A745,Hoja3!$C$3:$C$1124,Hoja3!$B$3:$B$1124)</f>
        <v>CÓRDOBA</v>
      </c>
      <c r="D745" s="40" t="str">
        <f t="shared" si="23"/>
        <v>574</v>
      </c>
      <c r="E745" s="39" t="str">
        <f>+_xlfn.XLOOKUP(A745,Hoja3!$C$3:$C$1124,Hoja3!$D$3:$D$1124)</f>
        <v>PUERTO ESCONDIDO</v>
      </c>
      <c r="F745" s="41">
        <v>43982</v>
      </c>
    </row>
    <row r="746" spans="1:6" x14ac:dyDescent="0.25">
      <c r="A746" s="37" t="s">
        <v>899</v>
      </c>
      <c r="B746" s="38" t="str">
        <f t="shared" si="22"/>
        <v>68</v>
      </c>
      <c r="C746" s="39" t="str">
        <f>+_xlfn.XLOOKUP(A746,Hoja3!$C$3:$C$1124,Hoja3!$B$3:$B$1124)</f>
        <v>SANTANDER</v>
      </c>
      <c r="D746" s="40" t="str">
        <f t="shared" si="23"/>
        <v>575</v>
      </c>
      <c r="E746" s="39" t="str">
        <f>+_xlfn.XLOOKUP(A746,Hoja3!$C$3:$C$1124,Hoja3!$D$3:$D$1124)</f>
        <v>PUERTO WILCHES</v>
      </c>
      <c r="F746" s="41">
        <v>43994</v>
      </c>
    </row>
    <row r="747" spans="1:6" x14ac:dyDescent="0.25">
      <c r="A747" s="38" t="s">
        <v>2076</v>
      </c>
      <c r="B747" s="38" t="str">
        <f t="shared" si="22"/>
        <v>05</v>
      </c>
      <c r="C747" s="39" t="str">
        <f>+_xlfn.XLOOKUP(A747,Hoja3!$C$3:$C$1124,Hoja3!$B$3:$B$1124)</f>
        <v>ANTIOQUIA</v>
      </c>
      <c r="D747" s="40" t="str">
        <f t="shared" si="23"/>
        <v>576</v>
      </c>
      <c r="E747" s="39" t="str">
        <f>+_xlfn.XLOOKUP(A747,Hoja3!$C$3:$C$1124,Hoja3!$D$3:$D$1124)</f>
        <v>PUEBLORRICO</v>
      </c>
      <c r="F747" s="42">
        <v>45658</v>
      </c>
    </row>
    <row r="748" spans="1:6" x14ac:dyDescent="0.25">
      <c r="A748" s="37" t="s">
        <v>2019</v>
      </c>
      <c r="B748" s="38" t="str">
        <f t="shared" si="22"/>
        <v>50</v>
      </c>
      <c r="C748" s="39" t="str">
        <f>+_xlfn.XLOOKUP(A748,Hoja3!$C$3:$C$1124,Hoja3!$B$3:$B$1124)</f>
        <v>META</v>
      </c>
      <c r="D748" s="40" t="str">
        <f t="shared" si="23"/>
        <v>577</v>
      </c>
      <c r="E748" s="39" t="str">
        <f>+_xlfn.XLOOKUP(A748,Hoja3!$C$3:$C$1124,Hoja3!$D$3:$D$1124)</f>
        <v>PUERTO LLERAS</v>
      </c>
      <c r="F748" s="41">
        <v>44065</v>
      </c>
    </row>
    <row r="749" spans="1:6" x14ac:dyDescent="0.25">
      <c r="A749" s="37" t="s">
        <v>83</v>
      </c>
      <c r="B749" s="38" t="str">
        <f t="shared" si="22"/>
        <v>05</v>
      </c>
      <c r="C749" s="39" t="str">
        <f>+_xlfn.XLOOKUP(A749,Hoja3!$C$3:$C$1124,Hoja3!$B$3:$B$1124)</f>
        <v>ANTIOQUIA</v>
      </c>
      <c r="D749" s="40" t="str">
        <f t="shared" si="23"/>
        <v>579</v>
      </c>
      <c r="E749" s="39" t="str">
        <f>+_xlfn.XLOOKUP(A749,Hoja3!$C$3:$C$1124,Hoja3!$D$3:$D$1124)</f>
        <v>PUERTO BERRÍO</v>
      </c>
      <c r="F749" s="41">
        <v>44006</v>
      </c>
    </row>
    <row r="750" spans="1:6" x14ac:dyDescent="0.25">
      <c r="A750" s="37" t="s">
        <v>184</v>
      </c>
      <c r="B750" s="38" t="str">
        <f t="shared" si="22"/>
        <v>13</v>
      </c>
      <c r="C750" s="39" t="str">
        <f>+_xlfn.XLOOKUP(A750,Hoja3!$C$3:$C$1124,Hoja3!$B$3:$B$1124)</f>
        <v>BOLÍVAR</v>
      </c>
      <c r="D750" s="40" t="str">
        <f t="shared" si="23"/>
        <v>580</v>
      </c>
      <c r="E750" s="39" t="str">
        <f>+_xlfn.XLOOKUP(A750,Hoja3!$C$3:$C$1124,Hoja3!$D$3:$D$1124)</f>
        <v>REGIDOR</v>
      </c>
      <c r="F750" s="41">
        <v>44027</v>
      </c>
    </row>
    <row r="751" spans="1:6" x14ac:dyDescent="0.25">
      <c r="A751" s="37" t="s">
        <v>266</v>
      </c>
      <c r="B751" s="38" t="str">
        <f t="shared" si="22"/>
        <v>15</v>
      </c>
      <c r="C751" s="39" t="str">
        <f>+_xlfn.XLOOKUP(A751,Hoja3!$C$3:$C$1124,Hoja3!$B$3:$B$1124)</f>
        <v>BOYACÁ</v>
      </c>
      <c r="D751" s="40" t="str">
        <f t="shared" si="23"/>
        <v>580</v>
      </c>
      <c r="E751" s="39" t="str">
        <f>+_xlfn.XLOOKUP(A751,Hoja3!$C$3:$C$1124,Hoja3!$D$3:$D$1124)</f>
        <v>QUÍPAMA</v>
      </c>
      <c r="F751" s="41">
        <v>44038</v>
      </c>
    </row>
    <row r="752" spans="1:6" x14ac:dyDescent="0.25">
      <c r="A752" s="37" t="s">
        <v>446</v>
      </c>
      <c r="B752" s="38" t="str">
        <f t="shared" si="22"/>
        <v>27</v>
      </c>
      <c r="C752" s="39" t="str">
        <f>+_xlfn.XLOOKUP(A752,Hoja3!$C$3:$C$1124,Hoja3!$B$3:$B$1124)</f>
        <v>CHOCÓ</v>
      </c>
      <c r="D752" s="40" t="str">
        <f t="shared" si="23"/>
        <v>580</v>
      </c>
      <c r="E752" s="39" t="str">
        <f>+_xlfn.XLOOKUP(A752,Hoja3!$C$3:$C$1124,Hoja3!$D$3:$D$1124)</f>
        <v>RÍO IRÓ</v>
      </c>
      <c r="F752" s="41">
        <v>43953</v>
      </c>
    </row>
    <row r="753" spans="1:6" x14ac:dyDescent="0.25">
      <c r="A753" s="37" t="s">
        <v>470</v>
      </c>
      <c r="B753" s="38" t="str">
        <f t="shared" si="22"/>
        <v>23</v>
      </c>
      <c r="C753" s="39" t="str">
        <f>+_xlfn.XLOOKUP(A753,Hoja3!$C$3:$C$1124,Hoja3!$B$3:$B$1124)</f>
        <v>CÓRDOBA</v>
      </c>
      <c r="D753" s="40" t="str">
        <f t="shared" si="23"/>
        <v>580</v>
      </c>
      <c r="E753" s="39" t="str">
        <f>+_xlfn.XLOOKUP(A753,Hoja3!$C$3:$C$1124,Hoja3!$D$3:$D$1124)</f>
        <v>PUERTO LIBERTADOR</v>
      </c>
      <c r="F753" s="41">
        <v>43986</v>
      </c>
    </row>
    <row r="754" spans="1:6" x14ac:dyDescent="0.25">
      <c r="A754" s="37" t="s">
        <v>545</v>
      </c>
      <c r="B754" s="38" t="str">
        <f t="shared" si="22"/>
        <v>25</v>
      </c>
      <c r="C754" s="39" t="str">
        <f>+_xlfn.XLOOKUP(A754,Hoja3!$C$3:$C$1124,Hoja3!$B$3:$B$1124)</f>
        <v>CUNDINAMARCA</v>
      </c>
      <c r="D754" s="40" t="str">
        <f t="shared" si="23"/>
        <v>580</v>
      </c>
      <c r="E754" s="39" t="str">
        <f>+_xlfn.XLOOKUP(A754,Hoja3!$C$3:$C$1124,Hoja3!$D$3:$D$1124)</f>
        <v>PULÍ</v>
      </c>
      <c r="F754" s="41">
        <v>44073</v>
      </c>
    </row>
    <row r="755" spans="1:6" x14ac:dyDescent="0.25">
      <c r="A755" s="37" t="s">
        <v>84</v>
      </c>
      <c r="B755" s="38" t="str">
        <f t="shared" si="22"/>
        <v>05</v>
      </c>
      <c r="C755" s="39" t="str">
        <f>+_xlfn.XLOOKUP(A755,Hoja3!$C$3:$C$1124,Hoja3!$B$3:$B$1124)</f>
        <v>ANTIOQUIA</v>
      </c>
      <c r="D755" s="40" t="str">
        <f t="shared" si="23"/>
        <v>585</v>
      </c>
      <c r="E755" s="39" t="str">
        <f>+_xlfn.XLOOKUP(A755,Hoja3!$C$3:$C$1124,Hoja3!$D$3:$D$1124)</f>
        <v>PUERTO NARE</v>
      </c>
      <c r="F755" s="41">
        <v>44009</v>
      </c>
    </row>
    <row r="756" spans="1:6" x14ac:dyDescent="0.25">
      <c r="A756" s="37" t="s">
        <v>388</v>
      </c>
      <c r="B756" s="38" t="str">
        <f t="shared" si="22"/>
        <v>19</v>
      </c>
      <c r="C756" s="39" t="str">
        <f>+_xlfn.XLOOKUP(A756,Hoja3!$C$3:$C$1124,Hoja3!$B$3:$B$1124)</f>
        <v>CAUCA</v>
      </c>
      <c r="D756" s="40" t="str">
        <f t="shared" si="23"/>
        <v>585</v>
      </c>
      <c r="E756" s="39" t="str">
        <f>+_xlfn.XLOOKUP(A756,Hoja3!$C$3:$C$1124,Hoja3!$D$3:$D$1124)</f>
        <v>PURACÉ</v>
      </c>
      <c r="F756" s="41">
        <v>44040</v>
      </c>
    </row>
    <row r="757" spans="1:6" x14ac:dyDescent="0.25">
      <c r="A757" s="37" t="s">
        <v>748</v>
      </c>
      <c r="B757" s="38" t="str">
        <f t="shared" si="22"/>
        <v>52</v>
      </c>
      <c r="C757" s="39" t="str">
        <f>+_xlfn.XLOOKUP(A757,Hoja3!$C$3:$C$1124,Hoja3!$B$3:$B$1124)</f>
        <v>NARIÑO</v>
      </c>
      <c r="D757" s="40" t="str">
        <f t="shared" si="23"/>
        <v>585</v>
      </c>
      <c r="E757" s="39" t="str">
        <f>+_xlfn.XLOOKUP(A757,Hoja3!$C$3:$C$1124,Hoja3!$D$3:$D$1124)</f>
        <v>PUPIALES</v>
      </c>
      <c r="F757" s="41">
        <v>43973</v>
      </c>
    </row>
    <row r="758" spans="1:6" x14ac:dyDescent="0.25">
      <c r="A758" s="37" t="s">
        <v>977</v>
      </c>
      <c r="B758" s="38" t="str">
        <f t="shared" si="22"/>
        <v>73</v>
      </c>
      <c r="C758" s="39" t="str">
        <f>+_xlfn.XLOOKUP(A758,Hoja3!$C$3:$C$1124,Hoja3!$B$3:$B$1124)</f>
        <v>TOLIMA</v>
      </c>
      <c r="D758" s="40" t="str">
        <f t="shared" si="23"/>
        <v>585</v>
      </c>
      <c r="E758" s="39" t="str">
        <f>+_xlfn.XLOOKUP(A758,Hoja3!$C$3:$C$1124,Hoja3!$D$3:$D$1124)</f>
        <v>PURIFICACIÓN</v>
      </c>
      <c r="F758" s="41">
        <v>44028</v>
      </c>
    </row>
    <row r="759" spans="1:6" x14ac:dyDescent="0.25">
      <c r="A759" s="37" t="s">
        <v>471</v>
      </c>
      <c r="B759" s="38" t="str">
        <f t="shared" si="22"/>
        <v>23</v>
      </c>
      <c r="C759" s="39" t="str">
        <f>+_xlfn.XLOOKUP(A759,Hoja3!$C$3:$C$1124,Hoja3!$B$3:$B$1124)</f>
        <v>CÓRDOBA</v>
      </c>
      <c r="D759" s="40" t="str">
        <f t="shared" si="23"/>
        <v>586</v>
      </c>
      <c r="E759" s="39" t="str">
        <f>+_xlfn.XLOOKUP(A759,Hoja3!$C$3:$C$1124,Hoja3!$D$3:$D$1124)</f>
        <v>PURÍSIMA DE LA CONCEPCIÓN</v>
      </c>
      <c r="F759" s="41">
        <v>43982</v>
      </c>
    </row>
    <row r="760" spans="1:6" x14ac:dyDescent="0.25">
      <c r="A760" s="37" t="s">
        <v>696</v>
      </c>
      <c r="B760" s="38" t="str">
        <f t="shared" si="22"/>
        <v>50</v>
      </c>
      <c r="C760" s="39" t="str">
        <f>+_xlfn.XLOOKUP(A760,Hoja3!$C$3:$C$1124,Hoja3!$B$3:$B$1124)</f>
        <v>META</v>
      </c>
      <c r="D760" s="40" t="str">
        <f t="shared" si="23"/>
        <v>590</v>
      </c>
      <c r="E760" s="39" t="str">
        <f>+_xlfn.XLOOKUP(A760,Hoja3!$C$3:$C$1124,Hoja3!$D$3:$D$1124)</f>
        <v>PUERTO RICO</v>
      </c>
      <c r="F760" s="41">
        <v>44064</v>
      </c>
    </row>
    <row r="761" spans="1:6" x14ac:dyDescent="0.25">
      <c r="A761" s="37" t="s">
        <v>85</v>
      </c>
      <c r="B761" s="38" t="str">
        <f t="shared" si="22"/>
        <v>05</v>
      </c>
      <c r="C761" s="39" t="str">
        <f>+_xlfn.XLOOKUP(A761,Hoja3!$C$3:$C$1124,Hoja3!$B$3:$B$1124)</f>
        <v>ANTIOQUIA</v>
      </c>
      <c r="D761" s="40" t="str">
        <f t="shared" si="23"/>
        <v>591</v>
      </c>
      <c r="E761" s="39" t="str">
        <f>+_xlfn.XLOOKUP(A761,Hoja3!$C$3:$C$1124,Hoja3!$D$3:$D$1124)</f>
        <v>PUERTO TRIUNFO</v>
      </c>
      <c r="F761" s="41">
        <v>44002</v>
      </c>
    </row>
    <row r="762" spans="1:6" x14ac:dyDescent="0.25">
      <c r="A762" s="38" t="s">
        <v>2078</v>
      </c>
      <c r="B762" s="38" t="str">
        <f t="shared" si="22"/>
        <v>81</v>
      </c>
      <c r="C762" s="39" t="str">
        <f>+_xlfn.XLOOKUP(A762,Hoja3!$C$3:$C$1124,Hoja3!$B$3:$B$1124)</f>
        <v>ARAUCA</v>
      </c>
      <c r="D762" s="40" t="str">
        <f t="shared" si="23"/>
        <v>591</v>
      </c>
      <c r="E762" s="39" t="str">
        <f>+_xlfn.XLOOKUP(A762,Hoja3!$C$3:$C$1124,Hoja3!$D$3:$D$1124)</f>
        <v>PUERTO RONDÓN</v>
      </c>
      <c r="F762" s="42">
        <v>45658</v>
      </c>
    </row>
    <row r="763" spans="1:6" x14ac:dyDescent="0.25">
      <c r="A763" s="37" t="s">
        <v>342</v>
      </c>
      <c r="B763" s="38" t="str">
        <f t="shared" si="22"/>
        <v>18</v>
      </c>
      <c r="C763" s="39" t="str">
        <f>+_xlfn.XLOOKUP(A763,Hoja3!$C$3:$C$1124,Hoja3!$B$3:$B$1124)</f>
        <v>CAQUETÁ</v>
      </c>
      <c r="D763" s="40" t="str">
        <f t="shared" si="23"/>
        <v>592</v>
      </c>
      <c r="E763" s="39" t="str">
        <f>+_xlfn.XLOOKUP(A763,Hoja3!$C$3:$C$1124,Hoja3!$D$3:$D$1124)</f>
        <v>PUERTO RICO</v>
      </c>
      <c r="F763" s="41">
        <v>44006</v>
      </c>
    </row>
    <row r="764" spans="1:6" x14ac:dyDescent="0.25">
      <c r="A764" s="37" t="s">
        <v>546</v>
      </c>
      <c r="B764" s="38" t="str">
        <f t="shared" si="22"/>
        <v>25</v>
      </c>
      <c r="C764" s="39" t="str">
        <f>+_xlfn.XLOOKUP(A764,Hoja3!$C$3:$C$1124,Hoja3!$B$3:$B$1124)</f>
        <v>CUNDINAMARCA</v>
      </c>
      <c r="D764" s="40" t="str">
        <f t="shared" si="23"/>
        <v>592</v>
      </c>
      <c r="E764" s="39" t="str">
        <f>+_xlfn.XLOOKUP(A764,Hoja3!$C$3:$C$1124,Hoja3!$D$3:$D$1124)</f>
        <v>QUEBRADANEGRA</v>
      </c>
      <c r="F764" s="41">
        <v>44017</v>
      </c>
    </row>
    <row r="765" spans="1:6" x14ac:dyDescent="0.25">
      <c r="A765" s="37" t="s">
        <v>839</v>
      </c>
      <c r="B765" s="38" t="str">
        <f t="shared" si="22"/>
        <v>66</v>
      </c>
      <c r="C765" s="39" t="str">
        <f>+_xlfn.XLOOKUP(A765,Hoja3!$C$3:$C$1124,Hoja3!$B$3:$B$1124)</f>
        <v>RISARALDA</v>
      </c>
      <c r="D765" s="40" t="str">
        <f t="shared" si="23"/>
        <v>594</v>
      </c>
      <c r="E765" s="39" t="str">
        <f>+_xlfn.XLOOKUP(A765,Hoja3!$C$3:$C$1124,Hoja3!$D$3:$D$1124)</f>
        <v>QUINCHÍA</v>
      </c>
      <c r="F765" s="41">
        <v>44029</v>
      </c>
    </row>
    <row r="766" spans="1:6" x14ac:dyDescent="0.25">
      <c r="A766" s="37" t="s">
        <v>547</v>
      </c>
      <c r="B766" s="38" t="str">
        <f t="shared" si="22"/>
        <v>25</v>
      </c>
      <c r="C766" s="39" t="str">
        <f>+_xlfn.XLOOKUP(A766,Hoja3!$C$3:$C$1124,Hoja3!$B$3:$B$1124)</f>
        <v>CUNDINAMARCA</v>
      </c>
      <c r="D766" s="40" t="str">
        <f t="shared" si="23"/>
        <v>594</v>
      </c>
      <c r="E766" s="39" t="str">
        <f>+_xlfn.XLOOKUP(A766,Hoja3!$C$3:$C$1124,Hoja3!$D$3:$D$1124)</f>
        <v>QUETAME</v>
      </c>
      <c r="F766" s="41">
        <v>44007</v>
      </c>
    </row>
    <row r="767" spans="1:6" x14ac:dyDescent="0.25">
      <c r="A767" s="37" t="s">
        <v>826</v>
      </c>
      <c r="B767" s="38" t="str">
        <f t="shared" si="22"/>
        <v>63</v>
      </c>
      <c r="C767" s="39" t="str">
        <f>+_xlfn.XLOOKUP(A767,Hoja3!$C$3:$C$1124,Hoja3!$B$3:$B$1124)</f>
        <v>QUINDÍO</v>
      </c>
      <c r="D767" s="40" t="str">
        <f t="shared" si="23"/>
        <v>594</v>
      </c>
      <c r="E767" s="39" t="str">
        <f>+_xlfn.XLOOKUP(A767,Hoja3!$C$3:$C$1124,Hoja3!$D$3:$D$1124)</f>
        <v>QUIMBAYA</v>
      </c>
      <c r="F767" s="41">
        <v>43958</v>
      </c>
    </row>
    <row r="768" spans="1:6" x14ac:dyDescent="0.25">
      <c r="A768" s="37" t="s">
        <v>548</v>
      </c>
      <c r="B768" s="38" t="str">
        <f t="shared" si="22"/>
        <v>25</v>
      </c>
      <c r="C768" s="39" t="str">
        <f>+_xlfn.XLOOKUP(A768,Hoja3!$C$3:$C$1124,Hoja3!$B$3:$B$1124)</f>
        <v>CUNDINAMARCA</v>
      </c>
      <c r="D768" s="40" t="str">
        <f t="shared" si="23"/>
        <v>596</v>
      </c>
      <c r="E768" s="39" t="str">
        <f>+_xlfn.XLOOKUP(A768,Hoja3!$C$3:$C$1124,Hoja3!$D$3:$D$1124)</f>
        <v>QUIPILE</v>
      </c>
      <c r="F768" s="41">
        <v>44064</v>
      </c>
    </row>
    <row r="769" spans="1:6" x14ac:dyDescent="0.25">
      <c r="A769" s="37" t="s">
        <v>267</v>
      </c>
      <c r="B769" s="38" t="str">
        <f t="shared" si="22"/>
        <v>15</v>
      </c>
      <c r="C769" s="39" t="str">
        <f>+_xlfn.XLOOKUP(A769,Hoja3!$C$3:$C$1124,Hoja3!$B$3:$B$1124)</f>
        <v>BOYACÁ</v>
      </c>
      <c r="D769" s="40" t="str">
        <f t="shared" si="23"/>
        <v>599</v>
      </c>
      <c r="E769" s="39" t="str">
        <f>+_xlfn.XLOOKUP(A769,Hoja3!$C$3:$C$1124,Hoja3!$D$3:$D$1124)</f>
        <v>RAMIRIQUÍ</v>
      </c>
      <c r="F769" s="41">
        <v>44001</v>
      </c>
    </row>
    <row r="770" spans="1:6" x14ac:dyDescent="0.25">
      <c r="A770" s="37" t="s">
        <v>549</v>
      </c>
      <c r="B770" s="38" t="str">
        <f t="shared" ref="B770:B833" si="24">MID(A770,1,2)</f>
        <v>25</v>
      </c>
      <c r="C770" s="39" t="str">
        <f>+_xlfn.XLOOKUP(A770,Hoja3!$C$3:$C$1124,Hoja3!$B$3:$B$1124)</f>
        <v>CUNDINAMARCA</v>
      </c>
      <c r="D770" s="40" t="str">
        <f t="shared" ref="D770:D833" si="25">MID(A770,3,3)</f>
        <v>599</v>
      </c>
      <c r="E770" s="39" t="str">
        <f>+_xlfn.XLOOKUP(A770,Hoja3!$C$3:$C$1124,Hoja3!$D$3:$D$1124)</f>
        <v>APULO</v>
      </c>
      <c r="F770" s="41">
        <v>43977</v>
      </c>
    </row>
    <row r="771" spans="1:6" x14ac:dyDescent="0.25">
      <c r="A771" s="37" t="s">
        <v>792</v>
      </c>
      <c r="B771" s="38" t="str">
        <f t="shared" si="24"/>
        <v>54</v>
      </c>
      <c r="C771" s="39" t="str">
        <f>+_xlfn.XLOOKUP(A771,Hoja3!$C$3:$C$1124,Hoja3!$B$3:$B$1124)</f>
        <v>NORTE DE SANTANDER</v>
      </c>
      <c r="D771" s="40" t="str">
        <f t="shared" si="25"/>
        <v>599</v>
      </c>
      <c r="E771" s="39" t="str">
        <f>+_xlfn.XLOOKUP(A771,Hoja3!$C$3:$C$1124,Hoja3!$D$3:$D$1124)</f>
        <v>RAGONVALIA</v>
      </c>
      <c r="F771" s="41">
        <v>44006</v>
      </c>
    </row>
    <row r="772" spans="1:6" x14ac:dyDescent="0.25">
      <c r="A772" s="37" t="s">
        <v>185</v>
      </c>
      <c r="B772" s="38" t="str">
        <f t="shared" si="24"/>
        <v>13</v>
      </c>
      <c r="C772" s="39" t="str">
        <f>+_xlfn.XLOOKUP(A772,Hoja3!$C$3:$C$1124,Hoja3!$B$3:$B$1124)</f>
        <v>BOLÍVAR</v>
      </c>
      <c r="D772" s="40" t="str">
        <f t="shared" si="25"/>
        <v>600</v>
      </c>
      <c r="E772" s="39" t="str">
        <f>+_xlfn.XLOOKUP(A772,Hoja3!$C$3:$C$1124,Hoja3!$D$3:$D$1124)</f>
        <v>RÍO VIEJO</v>
      </c>
      <c r="F772" s="41">
        <v>44037</v>
      </c>
    </row>
    <row r="773" spans="1:6" x14ac:dyDescent="0.25">
      <c r="A773" s="37" t="s">
        <v>268</v>
      </c>
      <c r="B773" s="38" t="str">
        <f t="shared" si="24"/>
        <v>15</v>
      </c>
      <c r="C773" s="39" t="str">
        <f>+_xlfn.XLOOKUP(A773,Hoja3!$C$3:$C$1124,Hoja3!$B$3:$B$1124)</f>
        <v>BOYACÁ</v>
      </c>
      <c r="D773" s="40" t="str">
        <f t="shared" si="25"/>
        <v>600</v>
      </c>
      <c r="E773" s="39" t="str">
        <f>+_xlfn.XLOOKUP(A773,Hoja3!$C$3:$C$1124,Hoja3!$D$3:$D$1124)</f>
        <v>RÁQUIRA</v>
      </c>
      <c r="F773" s="41">
        <v>44047</v>
      </c>
    </row>
    <row r="774" spans="1:6" x14ac:dyDescent="0.25">
      <c r="A774" s="37" t="s">
        <v>447</v>
      </c>
      <c r="B774" s="38" t="str">
        <f t="shared" si="24"/>
        <v>27</v>
      </c>
      <c r="C774" s="39" t="str">
        <f>+_xlfn.XLOOKUP(A774,Hoja3!$C$3:$C$1124,Hoja3!$B$3:$B$1124)</f>
        <v>CHOCÓ</v>
      </c>
      <c r="D774" s="40" t="str">
        <f t="shared" si="25"/>
        <v>600</v>
      </c>
      <c r="E774" s="39" t="str">
        <f>+_xlfn.XLOOKUP(A774,Hoja3!$C$3:$C$1124,Hoja3!$D$3:$D$1124)</f>
        <v>RÍO QUITO</v>
      </c>
      <c r="F774" s="41">
        <v>43959</v>
      </c>
    </row>
    <row r="775" spans="1:6" x14ac:dyDescent="0.25">
      <c r="A775" s="37" t="s">
        <v>86</v>
      </c>
      <c r="B775" s="38" t="str">
        <f t="shared" si="24"/>
        <v>05</v>
      </c>
      <c r="C775" s="39" t="str">
        <f>+_xlfn.XLOOKUP(A775,Hoja3!$C$3:$C$1124,Hoja3!$B$3:$B$1124)</f>
        <v>ANTIOQUIA</v>
      </c>
      <c r="D775" s="40" t="str">
        <f t="shared" si="25"/>
        <v>604</v>
      </c>
      <c r="E775" s="39" t="str">
        <f>+_xlfn.XLOOKUP(A775,Hoja3!$C$3:$C$1124,Hoja3!$D$3:$D$1124)</f>
        <v>REMEDIOS</v>
      </c>
      <c r="F775" s="41">
        <v>44001</v>
      </c>
    </row>
    <row r="776" spans="1:6" x14ac:dyDescent="0.25">
      <c r="A776" s="37" t="s">
        <v>665</v>
      </c>
      <c r="B776" s="38" t="str">
        <f t="shared" si="24"/>
        <v>47</v>
      </c>
      <c r="C776" s="39" t="str">
        <f>+_xlfn.XLOOKUP(A776,Hoja3!$C$3:$C$1124,Hoja3!$B$3:$B$1124)</f>
        <v>MAGDALENA</v>
      </c>
      <c r="D776" s="40" t="str">
        <f t="shared" si="25"/>
        <v>605</v>
      </c>
      <c r="E776" s="39" t="str">
        <f>+_xlfn.XLOOKUP(A776,Hoja3!$C$3:$C$1124,Hoja3!$D$3:$D$1124)</f>
        <v>REMOLINO</v>
      </c>
      <c r="F776" s="41">
        <v>43990</v>
      </c>
    </row>
    <row r="777" spans="1:6" x14ac:dyDescent="0.25">
      <c r="A777" s="37" t="s">
        <v>149</v>
      </c>
      <c r="B777" s="38" t="str">
        <f t="shared" si="24"/>
        <v>08</v>
      </c>
      <c r="C777" s="39" t="str">
        <f>+_xlfn.XLOOKUP(A777,Hoja3!$C$3:$C$1124,Hoja3!$B$3:$B$1124)</f>
        <v>ATLÁNTICO</v>
      </c>
      <c r="D777" s="40" t="str">
        <f t="shared" si="25"/>
        <v>606</v>
      </c>
      <c r="E777" s="39" t="str">
        <f>+_xlfn.XLOOKUP(A777,Hoja3!$C$3:$C$1124,Hoja3!$D$3:$D$1124)</f>
        <v>REPELÓN</v>
      </c>
      <c r="F777" s="41">
        <v>43948</v>
      </c>
    </row>
    <row r="778" spans="1:6" x14ac:dyDescent="0.25">
      <c r="A778" s="37" t="s">
        <v>697</v>
      </c>
      <c r="B778" s="38" t="str">
        <f t="shared" si="24"/>
        <v>50</v>
      </c>
      <c r="C778" s="39" t="str">
        <f>+_xlfn.XLOOKUP(A778,Hoja3!$C$3:$C$1124,Hoja3!$B$3:$B$1124)</f>
        <v>META</v>
      </c>
      <c r="D778" s="40" t="str">
        <f t="shared" si="25"/>
        <v>606</v>
      </c>
      <c r="E778" s="39" t="str">
        <f>+_xlfn.XLOOKUP(A778,Hoja3!$C$3:$C$1124,Hoja3!$D$3:$D$1124)</f>
        <v>RESTREPO</v>
      </c>
      <c r="F778" s="41">
        <v>43946</v>
      </c>
    </row>
    <row r="779" spans="1:6" x14ac:dyDescent="0.25">
      <c r="A779" s="37" t="s">
        <v>1015</v>
      </c>
      <c r="B779" s="38" t="str">
        <f t="shared" si="24"/>
        <v>76</v>
      </c>
      <c r="C779" s="39" t="str">
        <f>+_xlfn.XLOOKUP(A779,Hoja3!$C$3:$C$1124,Hoja3!$B$3:$B$1124)</f>
        <v>VALLE DEL CAUCA</v>
      </c>
      <c r="D779" s="40" t="str">
        <f t="shared" si="25"/>
        <v>606</v>
      </c>
      <c r="E779" s="39" t="str">
        <f>+_xlfn.XLOOKUP(A779,Hoja3!$C$3:$C$1124,Hoja3!$D$3:$D$1124)</f>
        <v>RESTREPO</v>
      </c>
      <c r="F779" s="41">
        <v>43948</v>
      </c>
    </row>
    <row r="780" spans="1:6" x14ac:dyDescent="0.25">
      <c r="A780" s="37" t="s">
        <v>87</v>
      </c>
      <c r="B780" s="38" t="str">
        <f t="shared" si="24"/>
        <v>05</v>
      </c>
      <c r="C780" s="39" t="str">
        <f>+_xlfn.XLOOKUP(A780,Hoja3!$C$3:$C$1124,Hoja3!$B$3:$B$1124)</f>
        <v>ANTIOQUIA</v>
      </c>
      <c r="D780" s="40" t="str">
        <f t="shared" si="25"/>
        <v>607</v>
      </c>
      <c r="E780" s="39" t="str">
        <f>+_xlfn.XLOOKUP(A780,Hoja3!$C$3:$C$1124,Hoja3!$D$3:$D$1124)</f>
        <v>RETIRO</v>
      </c>
      <c r="F780" s="41">
        <v>43897</v>
      </c>
    </row>
    <row r="781" spans="1:6" x14ac:dyDescent="0.25">
      <c r="A781" s="37" t="s">
        <v>343</v>
      </c>
      <c r="B781" s="38" t="str">
        <f t="shared" si="24"/>
        <v>18</v>
      </c>
      <c r="C781" s="39" t="str">
        <f>+_xlfn.XLOOKUP(A781,Hoja3!$C$3:$C$1124,Hoja3!$B$3:$B$1124)</f>
        <v>CAQUETÁ</v>
      </c>
      <c r="D781" s="40" t="str">
        <f t="shared" si="25"/>
        <v>610</v>
      </c>
      <c r="E781" s="39" t="str">
        <f>+_xlfn.XLOOKUP(A781,Hoja3!$C$3:$C$1124,Hoja3!$D$3:$D$1124)</f>
        <v>SAN JOSÉ DEL FRAGUA</v>
      </c>
      <c r="F781" s="41">
        <v>44009</v>
      </c>
    </row>
    <row r="782" spans="1:6" x14ac:dyDescent="0.25">
      <c r="A782" s="37" t="s">
        <v>550</v>
      </c>
      <c r="B782" s="38" t="str">
        <f t="shared" si="24"/>
        <v>25</v>
      </c>
      <c r="C782" s="39" t="str">
        <f>+_xlfn.XLOOKUP(A782,Hoja3!$C$3:$C$1124,Hoja3!$B$3:$B$1124)</f>
        <v>CUNDINAMARCA</v>
      </c>
      <c r="D782" s="40" t="str">
        <f t="shared" si="25"/>
        <v>612</v>
      </c>
      <c r="E782" s="39" t="str">
        <f>+_xlfn.XLOOKUP(A782,Hoja3!$C$3:$C$1124,Hoja3!$D$3:$D$1124)</f>
        <v>RICAURTE</v>
      </c>
      <c r="F782" s="41">
        <v>43969</v>
      </c>
    </row>
    <row r="783" spans="1:6" x14ac:dyDescent="0.25">
      <c r="A783" s="37" t="s">
        <v>749</v>
      </c>
      <c r="B783" s="38" t="str">
        <f t="shared" si="24"/>
        <v>52</v>
      </c>
      <c r="C783" s="39" t="str">
        <f>+_xlfn.XLOOKUP(A783,Hoja3!$C$3:$C$1124,Hoja3!$B$3:$B$1124)</f>
        <v>NARIÑO</v>
      </c>
      <c r="D783" s="40" t="str">
        <f t="shared" si="25"/>
        <v>612</v>
      </c>
      <c r="E783" s="39" t="str">
        <f>+_xlfn.XLOOKUP(A783,Hoja3!$C$3:$C$1124,Hoja3!$D$3:$D$1124)</f>
        <v>RICAURTE</v>
      </c>
      <c r="F783" s="41">
        <v>43976</v>
      </c>
    </row>
    <row r="784" spans="1:6" x14ac:dyDescent="0.25">
      <c r="A784" s="37" t="s">
        <v>2015</v>
      </c>
      <c r="B784" s="38" t="str">
        <f t="shared" si="24"/>
        <v>17</v>
      </c>
      <c r="C784" s="39" t="str">
        <f>+_xlfn.XLOOKUP(A784,Hoja3!$C$3:$C$1124,Hoja3!$B$3:$B$1124)</f>
        <v>CALDAS</v>
      </c>
      <c r="D784" s="40" t="str">
        <f t="shared" si="25"/>
        <v>614</v>
      </c>
      <c r="E784" s="39" t="str">
        <f>+_xlfn.XLOOKUP(A784,Hoja3!$C$3:$C$1124,Hoja3!$D$3:$D$1124)</f>
        <v>RIOSUCIO</v>
      </c>
      <c r="F784" s="41">
        <v>43952</v>
      </c>
    </row>
    <row r="785" spans="1:6" x14ac:dyDescent="0.25">
      <c r="A785" s="37" t="s">
        <v>420</v>
      </c>
      <c r="B785" s="38" t="str">
        <f t="shared" si="24"/>
        <v>20</v>
      </c>
      <c r="C785" s="39" t="str">
        <f>+_xlfn.XLOOKUP(A785,Hoja3!$C$3:$C$1124,Hoja3!$B$3:$B$1124)</f>
        <v>CESAR</v>
      </c>
      <c r="D785" s="40" t="str">
        <f t="shared" si="25"/>
        <v>614</v>
      </c>
      <c r="E785" s="39" t="str">
        <f>+_xlfn.XLOOKUP(A785,Hoja3!$C$3:$C$1124,Hoja3!$D$3:$D$1124)</f>
        <v>RÍO DE ORO</v>
      </c>
      <c r="F785" s="41">
        <v>43935</v>
      </c>
    </row>
    <row r="786" spans="1:6" x14ac:dyDescent="0.25">
      <c r="A786" s="37" t="s">
        <v>88</v>
      </c>
      <c r="B786" s="38" t="str">
        <f t="shared" si="24"/>
        <v>05</v>
      </c>
      <c r="C786" s="39" t="str">
        <f>+_xlfn.XLOOKUP(A786,Hoja3!$C$3:$C$1124,Hoja3!$B$3:$B$1124)</f>
        <v>ANTIOQUIA</v>
      </c>
      <c r="D786" s="40" t="str">
        <f t="shared" si="25"/>
        <v>615</v>
      </c>
      <c r="E786" s="39" t="str">
        <f>+_xlfn.XLOOKUP(A786,Hoja3!$C$3:$C$1124,Hoja3!$D$3:$D$1124)</f>
        <v>RIONEGRO</v>
      </c>
      <c r="F786" s="41">
        <v>43899</v>
      </c>
    </row>
    <row r="787" spans="1:6" x14ac:dyDescent="0.25">
      <c r="A787" s="37" t="s">
        <v>448</v>
      </c>
      <c r="B787" s="38" t="str">
        <f t="shared" si="24"/>
        <v>27</v>
      </c>
      <c r="C787" s="39" t="str">
        <f>+_xlfn.XLOOKUP(A787,Hoja3!$C$3:$C$1124,Hoja3!$B$3:$B$1124)</f>
        <v>CHOCÓ</v>
      </c>
      <c r="D787" s="40" t="str">
        <f t="shared" si="25"/>
        <v>615</v>
      </c>
      <c r="E787" s="39" t="str">
        <f>+_xlfn.XLOOKUP(A787,Hoja3!$C$3:$C$1124,Hoja3!$D$3:$D$1124)</f>
        <v>RIOSUCIO</v>
      </c>
      <c r="F787" s="41">
        <v>43996</v>
      </c>
    </row>
    <row r="788" spans="1:6" x14ac:dyDescent="0.25">
      <c r="A788" s="37" t="s">
        <v>620</v>
      </c>
      <c r="B788" s="38" t="str">
        <f t="shared" si="24"/>
        <v>41</v>
      </c>
      <c r="C788" s="39" t="str">
        <f>+_xlfn.XLOOKUP(A788,Hoja3!$C$3:$C$1124,Hoja3!$B$3:$B$1124)</f>
        <v>HUILA</v>
      </c>
      <c r="D788" s="40" t="str">
        <f t="shared" si="25"/>
        <v>615</v>
      </c>
      <c r="E788" s="39" t="str">
        <f>+_xlfn.XLOOKUP(A788,Hoja3!$C$3:$C$1124,Hoja3!$D$3:$D$1124)</f>
        <v>RIVERA</v>
      </c>
      <c r="F788" s="41">
        <v>43895</v>
      </c>
    </row>
    <row r="789" spans="1:6" x14ac:dyDescent="0.25">
      <c r="A789" s="37" t="s">
        <v>900</v>
      </c>
      <c r="B789" s="38" t="str">
        <f t="shared" si="24"/>
        <v>68</v>
      </c>
      <c r="C789" s="39" t="str">
        <f>+_xlfn.XLOOKUP(A789,Hoja3!$C$3:$C$1124,Hoja3!$B$3:$B$1124)</f>
        <v>SANTANDER</v>
      </c>
      <c r="D789" s="40" t="str">
        <f t="shared" si="25"/>
        <v>615</v>
      </c>
      <c r="E789" s="39" t="str">
        <f>+_xlfn.XLOOKUP(A789,Hoja3!$C$3:$C$1124,Hoja3!$D$3:$D$1124)</f>
        <v>RIONEGRO</v>
      </c>
      <c r="F789" s="41">
        <v>44002</v>
      </c>
    </row>
    <row r="790" spans="1:6" x14ac:dyDescent="0.25">
      <c r="A790" s="37" t="s">
        <v>324</v>
      </c>
      <c r="B790" s="38" t="str">
        <f t="shared" si="24"/>
        <v>17</v>
      </c>
      <c r="C790" s="39" t="str">
        <f>+_xlfn.XLOOKUP(A790,Hoja3!$C$3:$C$1124,Hoja3!$B$3:$B$1124)</f>
        <v>CALDAS</v>
      </c>
      <c r="D790" s="40" t="str">
        <f t="shared" si="25"/>
        <v>616</v>
      </c>
      <c r="E790" s="39" t="str">
        <f>+_xlfn.XLOOKUP(A790,Hoja3!$C$3:$C$1124,Hoja3!$D$3:$D$1124)</f>
        <v>RISARALDA</v>
      </c>
      <c r="F790" s="41">
        <v>43941</v>
      </c>
    </row>
    <row r="791" spans="1:6" x14ac:dyDescent="0.25">
      <c r="A791" s="37" t="s">
        <v>978</v>
      </c>
      <c r="B791" s="38" t="str">
        <f t="shared" si="24"/>
        <v>73</v>
      </c>
      <c r="C791" s="39" t="str">
        <f>+_xlfn.XLOOKUP(A791,Hoja3!$C$3:$C$1124,Hoja3!$B$3:$B$1124)</f>
        <v>TOLIMA</v>
      </c>
      <c r="D791" s="40" t="str">
        <f t="shared" si="25"/>
        <v>616</v>
      </c>
      <c r="E791" s="39" t="str">
        <f>+_xlfn.XLOOKUP(A791,Hoja3!$C$3:$C$1124,Hoja3!$D$3:$D$1124)</f>
        <v>RIOBLANCO</v>
      </c>
      <c r="F791" s="41">
        <v>44015</v>
      </c>
    </row>
    <row r="792" spans="1:6" x14ac:dyDescent="0.25">
      <c r="A792" s="37" t="s">
        <v>1016</v>
      </c>
      <c r="B792" s="38" t="str">
        <f t="shared" si="24"/>
        <v>76</v>
      </c>
      <c r="C792" s="39" t="str">
        <f>+_xlfn.XLOOKUP(A792,Hoja3!$C$3:$C$1124,Hoja3!$B$3:$B$1124)</f>
        <v>VALLE DEL CAUCA</v>
      </c>
      <c r="D792" s="40" t="str">
        <f t="shared" si="25"/>
        <v>616</v>
      </c>
      <c r="E792" s="39" t="str">
        <f>+_xlfn.XLOOKUP(A792,Hoja3!$C$3:$C$1124,Hoja3!$D$3:$D$1124)</f>
        <v>RIOFRÍO</v>
      </c>
      <c r="F792" s="41">
        <v>44040</v>
      </c>
    </row>
    <row r="793" spans="1:6" x14ac:dyDescent="0.25">
      <c r="A793" s="37" t="s">
        <v>186</v>
      </c>
      <c r="B793" s="38" t="str">
        <f t="shared" si="24"/>
        <v>13</v>
      </c>
      <c r="C793" s="39" t="str">
        <f>+_xlfn.XLOOKUP(A793,Hoja3!$C$3:$C$1124,Hoja3!$B$3:$B$1124)</f>
        <v>BOLÍVAR</v>
      </c>
      <c r="D793" s="40" t="str">
        <f t="shared" si="25"/>
        <v>620</v>
      </c>
      <c r="E793" s="39" t="str">
        <f>+_xlfn.XLOOKUP(A793,Hoja3!$C$3:$C$1124,Hoja3!$D$3:$D$1124)</f>
        <v>SAN CRISTÓBAL</v>
      </c>
      <c r="F793" s="41">
        <v>43926</v>
      </c>
    </row>
    <row r="794" spans="1:6" x14ac:dyDescent="0.25">
      <c r="A794" s="37" t="s">
        <v>421</v>
      </c>
      <c r="B794" s="38" t="str">
        <f t="shared" si="24"/>
        <v>20</v>
      </c>
      <c r="C794" s="39" t="str">
        <f>+_xlfn.XLOOKUP(A794,Hoja3!$C$3:$C$1124,Hoja3!$B$3:$B$1124)</f>
        <v>CESAR</v>
      </c>
      <c r="D794" s="40" t="str">
        <f t="shared" si="25"/>
        <v>621</v>
      </c>
      <c r="E794" s="39" t="str">
        <f>+_xlfn.XLOOKUP(A794,Hoja3!$C$3:$C$1124,Hoja3!$D$3:$D$1124)</f>
        <v>LA PAZ</v>
      </c>
      <c r="F794" s="41">
        <v>43932</v>
      </c>
    </row>
    <row r="795" spans="1:6" x14ac:dyDescent="0.25">
      <c r="A795" s="37" t="s">
        <v>750</v>
      </c>
      <c r="B795" s="38" t="str">
        <f t="shared" si="24"/>
        <v>52</v>
      </c>
      <c r="C795" s="39" t="str">
        <f>+_xlfn.XLOOKUP(A795,Hoja3!$C$3:$C$1124,Hoja3!$B$3:$B$1124)</f>
        <v>NARIÑO</v>
      </c>
      <c r="D795" s="40" t="str">
        <f t="shared" si="25"/>
        <v>621</v>
      </c>
      <c r="E795" s="39" t="str">
        <f>+_xlfn.XLOOKUP(A795,Hoja3!$C$3:$C$1124,Hoja3!$D$3:$D$1124)</f>
        <v>ROBERTO PAYÁN</v>
      </c>
      <c r="F795" s="41">
        <v>43973</v>
      </c>
    </row>
    <row r="796" spans="1:6" x14ac:dyDescent="0.25">
      <c r="A796" s="38" t="s">
        <v>2061</v>
      </c>
      <c r="B796" s="38" t="str">
        <f t="shared" si="24"/>
        <v>15</v>
      </c>
      <c r="C796" s="39" t="str">
        <f>+_xlfn.XLOOKUP(A796,Hoja3!$C$3:$C$1124,Hoja3!$B$3:$B$1124)</f>
        <v>BOYACÁ</v>
      </c>
      <c r="D796" s="40" t="str">
        <f t="shared" si="25"/>
        <v>621</v>
      </c>
      <c r="E796" s="39" t="str">
        <f>+_xlfn.XLOOKUP(A796,Hoja3!$C$3:$C$1124,Hoja3!$D$3:$D$1124)</f>
        <v>RONDÓN</v>
      </c>
      <c r="F796" s="42">
        <v>45658</v>
      </c>
    </row>
    <row r="797" spans="1:6" x14ac:dyDescent="0.25">
      <c r="A797" s="37" t="s">
        <v>389</v>
      </c>
      <c r="B797" s="38" t="str">
        <f t="shared" si="24"/>
        <v>19</v>
      </c>
      <c r="C797" s="39" t="str">
        <f>+_xlfn.XLOOKUP(A797,Hoja3!$C$3:$C$1124,Hoja3!$B$3:$B$1124)</f>
        <v>CAUCA</v>
      </c>
      <c r="D797" s="40" t="str">
        <f t="shared" si="25"/>
        <v>622</v>
      </c>
      <c r="E797" s="39" t="str">
        <f>+_xlfn.XLOOKUP(A797,Hoja3!$C$3:$C$1124,Hoja3!$D$3:$D$1124)</f>
        <v>ROSAS</v>
      </c>
      <c r="F797" s="41">
        <v>44004</v>
      </c>
    </row>
    <row r="798" spans="1:6" x14ac:dyDescent="0.25">
      <c r="A798" s="37" t="s">
        <v>1017</v>
      </c>
      <c r="B798" s="38" t="str">
        <f t="shared" si="24"/>
        <v>76</v>
      </c>
      <c r="C798" s="39" t="str">
        <f>+_xlfn.XLOOKUP(A798,Hoja3!$C$3:$C$1124,Hoja3!$B$3:$B$1124)</f>
        <v>VALLE DEL CAUCA</v>
      </c>
      <c r="D798" s="40" t="str">
        <f t="shared" si="25"/>
        <v>622</v>
      </c>
      <c r="E798" s="39" t="str">
        <f>+_xlfn.XLOOKUP(A798,Hoja3!$C$3:$C$1124,Hoja3!$D$3:$D$1124)</f>
        <v>ROLDANILLO</v>
      </c>
      <c r="F798" s="41">
        <v>43948</v>
      </c>
    </row>
    <row r="799" spans="1:6" x14ac:dyDescent="0.25">
      <c r="A799" s="38" t="s">
        <v>2086</v>
      </c>
      <c r="B799" s="38" t="str">
        <f t="shared" si="24"/>
        <v>73</v>
      </c>
      <c r="C799" s="39" t="str">
        <f>+_xlfn.XLOOKUP(A799,Hoja3!$C$3:$C$1124,Hoja3!$B$3:$B$1124)</f>
        <v>TOLIMA</v>
      </c>
      <c r="D799" s="40" t="str">
        <f t="shared" si="25"/>
        <v>622</v>
      </c>
      <c r="E799" s="39" t="str">
        <f>+_xlfn.XLOOKUP(A799,Hoja3!$C$3:$C$1124,Hoja3!$D$3:$D$1124)</f>
        <v>RONCESVALLES</v>
      </c>
      <c r="F799" s="42">
        <v>45658</v>
      </c>
    </row>
    <row r="800" spans="1:6" x14ac:dyDescent="0.25">
      <c r="A800" s="37" t="s">
        <v>979</v>
      </c>
      <c r="B800" s="38" t="str">
        <f t="shared" si="24"/>
        <v>73</v>
      </c>
      <c r="C800" s="39" t="str">
        <f>+_xlfn.XLOOKUP(A800,Hoja3!$C$3:$C$1124,Hoja3!$B$3:$B$1124)</f>
        <v>TOLIMA</v>
      </c>
      <c r="D800" s="40" t="str">
        <f t="shared" si="25"/>
        <v>624</v>
      </c>
      <c r="E800" s="39" t="str">
        <f>+_xlfn.XLOOKUP(A800,Hoja3!$C$3:$C$1124,Hoja3!$D$3:$D$1124)</f>
        <v>ROVIRA</v>
      </c>
      <c r="F800" s="41">
        <v>43951</v>
      </c>
    </row>
    <row r="801" spans="1:6" x14ac:dyDescent="0.25">
      <c r="A801" s="38" t="s">
        <v>2117</v>
      </c>
      <c r="B801" s="38" t="str">
        <f t="shared" si="24"/>
        <v>99</v>
      </c>
      <c r="C801" s="39" t="str">
        <f>+_xlfn.XLOOKUP(A801,Hoja3!$C$3:$C$1124,Hoja3!$B$3:$B$1124)</f>
        <v>VICHADA</v>
      </c>
      <c r="D801" s="40" t="str">
        <f t="shared" si="25"/>
        <v>624</v>
      </c>
      <c r="E801" s="39" t="str">
        <f>+_xlfn.XLOOKUP(A801,Hoja3!$C$3:$C$1124,Hoja3!$D$3:$D$1124)</f>
        <v>SANTA ROSALÍA</v>
      </c>
      <c r="F801" s="42">
        <v>45658</v>
      </c>
    </row>
    <row r="802" spans="1:6" x14ac:dyDescent="0.25">
      <c r="A802" s="37" t="s">
        <v>89</v>
      </c>
      <c r="B802" s="38" t="str">
        <f t="shared" si="24"/>
        <v>05</v>
      </c>
      <c r="C802" s="39" t="str">
        <f>+_xlfn.XLOOKUP(A802,Hoja3!$C$3:$C$1124,Hoja3!$B$3:$B$1124)</f>
        <v>ANTIOQUIA</v>
      </c>
      <c r="D802" s="40" t="str">
        <f t="shared" si="25"/>
        <v>628</v>
      </c>
      <c r="E802" s="39" t="str">
        <f>+_xlfn.XLOOKUP(A802,Hoja3!$C$3:$C$1124,Hoja3!$D$3:$D$1124)</f>
        <v>SABANALARGA</v>
      </c>
      <c r="F802" s="41">
        <v>44020</v>
      </c>
    </row>
    <row r="803" spans="1:6" x14ac:dyDescent="0.25">
      <c r="A803" s="37" t="s">
        <v>90</v>
      </c>
      <c r="B803" s="38" t="str">
        <f t="shared" si="24"/>
        <v>05</v>
      </c>
      <c r="C803" s="39" t="str">
        <f>+_xlfn.XLOOKUP(A803,Hoja3!$C$3:$C$1124,Hoja3!$B$3:$B$1124)</f>
        <v>ANTIOQUIA</v>
      </c>
      <c r="D803" s="40" t="str">
        <f t="shared" si="25"/>
        <v>631</v>
      </c>
      <c r="E803" s="39" t="str">
        <f>+_xlfn.XLOOKUP(A803,Hoja3!$C$3:$C$1124,Hoja3!$D$3:$D$1124)</f>
        <v>SABANETA</v>
      </c>
      <c r="F803" s="41">
        <v>43904</v>
      </c>
    </row>
    <row r="804" spans="1:6" x14ac:dyDescent="0.25">
      <c r="A804" s="37" t="s">
        <v>269</v>
      </c>
      <c r="B804" s="38" t="str">
        <f t="shared" si="24"/>
        <v>15</v>
      </c>
      <c r="C804" s="39" t="str">
        <f>+_xlfn.XLOOKUP(A804,Hoja3!$C$3:$C$1124,Hoja3!$B$3:$B$1124)</f>
        <v>BOYACÁ</v>
      </c>
      <c r="D804" s="40" t="str">
        <f t="shared" si="25"/>
        <v>632</v>
      </c>
      <c r="E804" s="39" t="str">
        <f>+_xlfn.XLOOKUP(A804,Hoja3!$C$3:$C$1124,Hoja3!$D$3:$D$1124)</f>
        <v>SABOYÁ</v>
      </c>
      <c r="F804" s="41">
        <v>44025</v>
      </c>
    </row>
    <row r="805" spans="1:6" x14ac:dyDescent="0.25">
      <c r="A805" s="37" t="s">
        <v>150</v>
      </c>
      <c r="B805" s="38" t="str">
        <f t="shared" si="24"/>
        <v>08</v>
      </c>
      <c r="C805" s="39" t="str">
        <f>+_xlfn.XLOOKUP(A805,Hoja3!$C$3:$C$1124,Hoja3!$B$3:$B$1124)</f>
        <v>ATLÁNTICO</v>
      </c>
      <c r="D805" s="40" t="str">
        <f t="shared" si="25"/>
        <v>634</v>
      </c>
      <c r="E805" s="39" t="str">
        <f>+_xlfn.XLOOKUP(A805,Hoja3!$C$3:$C$1124,Hoja3!$D$3:$D$1124)</f>
        <v>SABANAGRANDE</v>
      </c>
      <c r="F805" s="41">
        <v>43893</v>
      </c>
    </row>
    <row r="806" spans="1:6" x14ac:dyDescent="0.25">
      <c r="A806" s="37" t="s">
        <v>151</v>
      </c>
      <c r="B806" s="38" t="str">
        <f t="shared" si="24"/>
        <v>08</v>
      </c>
      <c r="C806" s="39" t="str">
        <f>+_xlfn.XLOOKUP(A806,Hoja3!$C$3:$C$1124,Hoja3!$B$3:$B$1124)</f>
        <v>ATLÁNTICO</v>
      </c>
      <c r="D806" s="40" t="str">
        <f t="shared" si="25"/>
        <v>638</v>
      </c>
      <c r="E806" s="39" t="str">
        <f>+_xlfn.XLOOKUP(A806,Hoja3!$C$3:$C$1124,Hoja3!$D$3:$D$1124)</f>
        <v>SABANALARGA</v>
      </c>
      <c r="F806" s="41">
        <v>43940</v>
      </c>
    </row>
    <row r="807" spans="1:6" x14ac:dyDescent="0.25">
      <c r="A807" s="37" t="s">
        <v>270</v>
      </c>
      <c r="B807" s="38" t="str">
        <f t="shared" si="24"/>
        <v>15</v>
      </c>
      <c r="C807" s="39" t="str">
        <f>+_xlfn.XLOOKUP(A807,Hoja3!$C$3:$C$1124,Hoja3!$B$3:$B$1124)</f>
        <v>BOYACÁ</v>
      </c>
      <c r="D807" s="40" t="str">
        <f t="shared" si="25"/>
        <v>638</v>
      </c>
      <c r="E807" s="39" t="str">
        <f>+_xlfn.XLOOKUP(A807,Hoja3!$C$3:$C$1124,Hoja3!$D$3:$D$1124)</f>
        <v>SÁCHICA</v>
      </c>
      <c r="F807" s="41">
        <v>44089</v>
      </c>
    </row>
    <row r="808" spans="1:6" x14ac:dyDescent="0.25">
      <c r="A808" s="37" t="s">
        <v>91</v>
      </c>
      <c r="B808" s="38" t="str">
        <f t="shared" si="24"/>
        <v>05</v>
      </c>
      <c r="C808" s="39" t="str">
        <f>+_xlfn.XLOOKUP(A808,Hoja3!$C$3:$C$1124,Hoja3!$B$3:$B$1124)</f>
        <v>ANTIOQUIA</v>
      </c>
      <c r="D808" s="40" t="str">
        <f t="shared" si="25"/>
        <v>642</v>
      </c>
      <c r="E808" s="39" t="str">
        <f>+_xlfn.XLOOKUP(A808,Hoja3!$C$3:$C$1124,Hoja3!$D$3:$D$1124)</f>
        <v>SALGAR</v>
      </c>
      <c r="F808" s="41">
        <v>43980</v>
      </c>
    </row>
    <row r="809" spans="1:6" x14ac:dyDescent="0.25">
      <c r="A809" s="37" t="s">
        <v>551</v>
      </c>
      <c r="B809" s="38" t="str">
        <f t="shared" si="24"/>
        <v>25</v>
      </c>
      <c r="C809" s="39" t="str">
        <f>+_xlfn.XLOOKUP(A809,Hoja3!$C$3:$C$1124,Hoja3!$B$3:$B$1124)</f>
        <v>CUNDINAMARCA</v>
      </c>
      <c r="D809" s="40" t="str">
        <f t="shared" si="25"/>
        <v>645</v>
      </c>
      <c r="E809" s="39" t="str">
        <f>+_xlfn.XLOOKUP(A809,Hoja3!$C$3:$C$1124,Hoja3!$D$3:$D$1124)</f>
        <v>SAN ANTONIO DEL TEQUENDAMA</v>
      </c>
      <c r="F809" s="41">
        <v>43961</v>
      </c>
    </row>
    <row r="810" spans="1:6" x14ac:dyDescent="0.25">
      <c r="A810" s="37" t="s">
        <v>271</v>
      </c>
      <c r="B810" s="38" t="str">
        <f t="shared" si="24"/>
        <v>15</v>
      </c>
      <c r="C810" s="39" t="str">
        <f>+_xlfn.XLOOKUP(A810,Hoja3!$C$3:$C$1124,Hoja3!$B$3:$B$1124)</f>
        <v>BOYACÁ</v>
      </c>
      <c r="D810" s="40" t="str">
        <f t="shared" si="25"/>
        <v>646</v>
      </c>
      <c r="E810" s="39" t="str">
        <f>+_xlfn.XLOOKUP(A810,Hoja3!$C$3:$C$1124,Hoja3!$D$3:$D$1124)</f>
        <v>SAMACÁ</v>
      </c>
      <c r="F810" s="41">
        <v>43944</v>
      </c>
    </row>
    <row r="811" spans="1:6" x14ac:dyDescent="0.25">
      <c r="A811" s="37" t="s">
        <v>92</v>
      </c>
      <c r="B811" s="38" t="str">
        <f t="shared" si="24"/>
        <v>05</v>
      </c>
      <c r="C811" s="39" t="str">
        <f>+_xlfn.XLOOKUP(A811,Hoja3!$C$3:$C$1124,Hoja3!$B$3:$B$1124)</f>
        <v>ANTIOQUIA</v>
      </c>
      <c r="D811" s="40" t="str">
        <f t="shared" si="25"/>
        <v>647</v>
      </c>
      <c r="E811" s="39" t="str">
        <f>+_xlfn.XLOOKUP(A811,Hoja3!$C$3:$C$1124,Hoja3!$D$3:$D$1124)</f>
        <v>SAN ANDRÉS DE CUERQUÍA</v>
      </c>
      <c r="F811" s="41">
        <v>44037</v>
      </c>
    </row>
    <row r="812" spans="1:6" x14ac:dyDescent="0.25">
      <c r="A812" s="37" t="s">
        <v>187</v>
      </c>
      <c r="B812" s="38" t="str">
        <f t="shared" si="24"/>
        <v>13</v>
      </c>
      <c r="C812" s="39" t="str">
        <f>+_xlfn.XLOOKUP(A812,Hoja3!$C$3:$C$1124,Hoja3!$B$3:$B$1124)</f>
        <v>BOLÍVAR</v>
      </c>
      <c r="D812" s="40" t="str">
        <f t="shared" si="25"/>
        <v>647</v>
      </c>
      <c r="E812" s="39" t="str">
        <f>+_xlfn.XLOOKUP(A812,Hoja3!$C$3:$C$1124,Hoja3!$D$3:$D$1124)</f>
        <v>SAN ESTANISLAO</v>
      </c>
      <c r="F812" s="41">
        <v>43992</v>
      </c>
    </row>
    <row r="813" spans="1:6" x14ac:dyDescent="0.25">
      <c r="A813" s="37" t="s">
        <v>93</v>
      </c>
      <c r="B813" s="38" t="str">
        <f t="shared" si="24"/>
        <v>05</v>
      </c>
      <c r="C813" s="39" t="str">
        <f>+_xlfn.XLOOKUP(A813,Hoja3!$C$3:$C$1124,Hoja3!$B$3:$B$1124)</f>
        <v>ANTIOQUIA</v>
      </c>
      <c r="D813" s="40" t="str">
        <f t="shared" si="25"/>
        <v>649</v>
      </c>
      <c r="E813" s="39" t="str">
        <f>+_xlfn.XLOOKUP(A813,Hoja3!$C$3:$C$1124,Hoja3!$D$3:$D$1124)</f>
        <v>SAN CARLOS</v>
      </c>
      <c r="F813" s="41">
        <v>44006</v>
      </c>
    </row>
    <row r="814" spans="1:6" x14ac:dyDescent="0.25">
      <c r="A814" s="37" t="s">
        <v>552</v>
      </c>
      <c r="B814" s="38" t="str">
        <f t="shared" si="24"/>
        <v>25</v>
      </c>
      <c r="C814" s="39" t="str">
        <f>+_xlfn.XLOOKUP(A814,Hoja3!$C$3:$C$1124,Hoja3!$B$3:$B$1124)</f>
        <v>CUNDINAMARCA</v>
      </c>
      <c r="D814" s="40" t="str">
        <f t="shared" si="25"/>
        <v>649</v>
      </c>
      <c r="E814" s="39" t="str">
        <f>+_xlfn.XLOOKUP(A814,Hoja3!$C$3:$C$1124,Hoja3!$D$3:$D$1124)</f>
        <v>SAN BERNARDO</v>
      </c>
      <c r="F814" s="41">
        <v>43993</v>
      </c>
    </row>
    <row r="815" spans="1:6" x14ac:dyDescent="0.25">
      <c r="A815" s="37" t="s">
        <v>188</v>
      </c>
      <c r="B815" s="38" t="str">
        <f t="shared" si="24"/>
        <v>13</v>
      </c>
      <c r="C815" s="39" t="str">
        <f>+_xlfn.XLOOKUP(A815,Hoja3!$C$3:$C$1124,Hoja3!$B$3:$B$1124)</f>
        <v>BOLÍVAR</v>
      </c>
      <c r="D815" s="40" t="str">
        <f t="shared" si="25"/>
        <v>650</v>
      </c>
      <c r="E815" s="39" t="str">
        <f>+_xlfn.XLOOKUP(A815,Hoja3!$C$3:$C$1124,Hoja3!$D$3:$D$1124)</f>
        <v>SAN FERNANDO</v>
      </c>
      <c r="F815" s="41">
        <v>44058</v>
      </c>
    </row>
    <row r="816" spans="1:6" x14ac:dyDescent="0.25">
      <c r="A816" s="37" t="s">
        <v>643</v>
      </c>
      <c r="B816" s="38" t="str">
        <f t="shared" si="24"/>
        <v>44</v>
      </c>
      <c r="C816" s="39" t="str">
        <f>+_xlfn.XLOOKUP(A816,Hoja3!$C$3:$C$1124,Hoja3!$B$3:$B$1124)</f>
        <v>LA GUAJIRA</v>
      </c>
      <c r="D816" s="40" t="str">
        <f t="shared" si="25"/>
        <v>650</v>
      </c>
      <c r="E816" s="39" t="str">
        <f>+_xlfn.XLOOKUP(A816,Hoja3!$C$3:$C$1124,Hoja3!$D$3:$D$1124)</f>
        <v>SAN JUAN DEL CESAR</v>
      </c>
      <c r="F816" s="41">
        <v>43931</v>
      </c>
    </row>
    <row r="817" spans="1:6" x14ac:dyDescent="0.25">
      <c r="A817" s="37" t="s">
        <v>94</v>
      </c>
      <c r="B817" s="38" t="str">
        <f t="shared" si="24"/>
        <v>05</v>
      </c>
      <c r="C817" s="39" t="str">
        <f>+_xlfn.XLOOKUP(A817,Hoja3!$C$3:$C$1124,Hoja3!$B$3:$B$1124)</f>
        <v>ANTIOQUIA</v>
      </c>
      <c r="D817" s="40" t="str">
        <f t="shared" si="25"/>
        <v>652</v>
      </c>
      <c r="E817" s="39" t="str">
        <f>+_xlfn.XLOOKUP(A817,Hoja3!$C$3:$C$1124,Hoja3!$D$3:$D$1124)</f>
        <v>SAN FRANCISCO</v>
      </c>
      <c r="F817" s="41">
        <v>43912</v>
      </c>
    </row>
    <row r="818" spans="1:6" x14ac:dyDescent="0.25">
      <c r="A818" s="37" t="s">
        <v>325</v>
      </c>
      <c r="B818" s="38" t="str">
        <f t="shared" si="24"/>
        <v>17</v>
      </c>
      <c r="C818" s="39" t="str">
        <f>+_xlfn.XLOOKUP(A818,Hoja3!$C$3:$C$1124,Hoja3!$B$3:$B$1124)</f>
        <v>CALDAS</v>
      </c>
      <c r="D818" s="40" t="str">
        <f t="shared" si="25"/>
        <v>653</v>
      </c>
      <c r="E818" s="39" t="str">
        <f>+_xlfn.XLOOKUP(A818,Hoja3!$C$3:$C$1124,Hoja3!$D$3:$D$1124)</f>
        <v>SALAMINA</v>
      </c>
      <c r="F818" s="41">
        <v>44027</v>
      </c>
    </row>
    <row r="819" spans="1:6" x14ac:dyDescent="0.25">
      <c r="A819" s="37" t="s">
        <v>553</v>
      </c>
      <c r="B819" s="38" t="str">
        <f t="shared" si="24"/>
        <v>25</v>
      </c>
      <c r="C819" s="39" t="str">
        <f>+_xlfn.XLOOKUP(A819,Hoja3!$C$3:$C$1124,Hoja3!$B$3:$B$1124)</f>
        <v>CUNDINAMARCA</v>
      </c>
      <c r="D819" s="40" t="str">
        <f t="shared" si="25"/>
        <v>653</v>
      </c>
      <c r="E819" s="39" t="str">
        <f>+_xlfn.XLOOKUP(A819,Hoja3!$C$3:$C$1124,Hoja3!$D$3:$D$1124)</f>
        <v>SAN CAYETANO</v>
      </c>
      <c r="F819" s="41">
        <v>44074</v>
      </c>
    </row>
    <row r="820" spans="1:6" x14ac:dyDescent="0.25">
      <c r="A820" s="37" t="s">
        <v>189</v>
      </c>
      <c r="B820" s="38" t="str">
        <f t="shared" si="24"/>
        <v>13</v>
      </c>
      <c r="C820" s="39" t="str">
        <f>+_xlfn.XLOOKUP(A820,Hoja3!$C$3:$C$1124,Hoja3!$B$3:$B$1124)</f>
        <v>BOLÍVAR</v>
      </c>
      <c r="D820" s="40" t="str">
        <f t="shared" si="25"/>
        <v>654</v>
      </c>
      <c r="E820" s="39" t="str">
        <f>+_xlfn.XLOOKUP(A820,Hoja3!$C$3:$C$1124,Hoja3!$D$3:$D$1124)</f>
        <v>SAN JACINTO</v>
      </c>
      <c r="F820" s="41">
        <v>43994</v>
      </c>
    </row>
    <row r="821" spans="1:6" x14ac:dyDescent="0.25">
      <c r="A821" s="37" t="s">
        <v>190</v>
      </c>
      <c r="B821" s="38" t="str">
        <f t="shared" si="24"/>
        <v>13</v>
      </c>
      <c r="C821" s="39" t="str">
        <f>+_xlfn.XLOOKUP(A821,Hoja3!$C$3:$C$1124,Hoja3!$B$3:$B$1124)</f>
        <v>BOLÍVAR</v>
      </c>
      <c r="D821" s="40" t="str">
        <f t="shared" si="25"/>
        <v>655</v>
      </c>
      <c r="E821" s="39" t="str">
        <f>+_xlfn.XLOOKUP(A821,Hoja3!$C$3:$C$1124,Hoja3!$D$3:$D$1124)</f>
        <v>SAN JACINTO DEL CAUCA</v>
      </c>
      <c r="F821" s="41">
        <v>44018</v>
      </c>
    </row>
    <row r="822" spans="1:6" x14ac:dyDescent="0.25">
      <c r="A822" s="37" t="s">
        <v>901</v>
      </c>
      <c r="B822" s="38" t="str">
        <f t="shared" si="24"/>
        <v>68</v>
      </c>
      <c r="C822" s="39" t="str">
        <f>+_xlfn.XLOOKUP(A822,Hoja3!$C$3:$C$1124,Hoja3!$B$3:$B$1124)</f>
        <v>SANTANDER</v>
      </c>
      <c r="D822" s="40" t="str">
        <f t="shared" si="25"/>
        <v>655</v>
      </c>
      <c r="E822" s="39" t="str">
        <f>+_xlfn.XLOOKUP(A822,Hoja3!$C$3:$C$1124,Hoja3!$D$3:$D$1124)</f>
        <v>SABANA DE TORRES</v>
      </c>
      <c r="F822" s="41">
        <v>43990</v>
      </c>
    </row>
    <row r="823" spans="1:6" x14ac:dyDescent="0.25">
      <c r="A823" s="37" t="s">
        <v>95</v>
      </c>
      <c r="B823" s="38" t="str">
        <f t="shared" si="24"/>
        <v>05</v>
      </c>
      <c r="C823" s="39" t="str">
        <f>+_xlfn.XLOOKUP(A823,Hoja3!$C$3:$C$1124,Hoja3!$B$3:$B$1124)</f>
        <v>ANTIOQUIA</v>
      </c>
      <c r="D823" s="40" t="str">
        <f t="shared" si="25"/>
        <v>656</v>
      </c>
      <c r="E823" s="39" t="str">
        <f>+_xlfn.XLOOKUP(A823,Hoja3!$C$3:$C$1124,Hoja3!$D$3:$D$1124)</f>
        <v>SAN JERÓNIMO</v>
      </c>
      <c r="F823" s="41">
        <v>44018</v>
      </c>
    </row>
    <row r="824" spans="1:6" x14ac:dyDescent="0.25">
      <c r="A824" s="37" t="s">
        <v>191</v>
      </c>
      <c r="B824" s="38" t="str">
        <f t="shared" si="24"/>
        <v>13</v>
      </c>
      <c r="C824" s="39" t="str">
        <f>+_xlfn.XLOOKUP(A824,Hoja3!$C$3:$C$1124,Hoja3!$B$3:$B$1124)</f>
        <v>BOLÍVAR</v>
      </c>
      <c r="D824" s="40" t="str">
        <f t="shared" si="25"/>
        <v>657</v>
      </c>
      <c r="E824" s="39" t="str">
        <f>+_xlfn.XLOOKUP(A824,Hoja3!$C$3:$C$1124,Hoja3!$D$3:$D$1124)</f>
        <v>SAN JUAN NEPOMUCENO</v>
      </c>
      <c r="F824" s="41">
        <v>43974</v>
      </c>
    </row>
    <row r="825" spans="1:6" x14ac:dyDescent="0.25">
      <c r="A825" s="37" t="s">
        <v>96</v>
      </c>
      <c r="B825" s="38" t="str">
        <f t="shared" si="24"/>
        <v>05</v>
      </c>
      <c r="C825" s="39" t="str">
        <f>+_xlfn.XLOOKUP(A825,Hoja3!$C$3:$C$1124,Hoja3!$B$3:$B$1124)</f>
        <v>ANTIOQUIA</v>
      </c>
      <c r="D825" s="40" t="str">
        <f t="shared" si="25"/>
        <v>658</v>
      </c>
      <c r="E825" s="39" t="str">
        <f>+_xlfn.XLOOKUP(A825,Hoja3!$C$3:$C$1124,Hoja3!$D$3:$D$1124)</f>
        <v>SAN JOSÉ DE LA MONTAÑA</v>
      </c>
      <c r="F825" s="41">
        <v>44011</v>
      </c>
    </row>
    <row r="826" spans="1:6" x14ac:dyDescent="0.25">
      <c r="A826" s="37" t="s">
        <v>554</v>
      </c>
      <c r="B826" s="38" t="str">
        <f t="shared" si="24"/>
        <v>25</v>
      </c>
      <c r="C826" s="39" t="str">
        <f>+_xlfn.XLOOKUP(A826,Hoja3!$C$3:$C$1124,Hoja3!$B$3:$B$1124)</f>
        <v>CUNDINAMARCA</v>
      </c>
      <c r="D826" s="40" t="str">
        <f t="shared" si="25"/>
        <v>658</v>
      </c>
      <c r="E826" s="39" t="str">
        <f>+_xlfn.XLOOKUP(A826,Hoja3!$C$3:$C$1124,Hoja3!$D$3:$D$1124)</f>
        <v>SAN FRANCISCO</v>
      </c>
      <c r="F826" s="41">
        <v>43962</v>
      </c>
    </row>
    <row r="827" spans="1:6" x14ac:dyDescent="0.25">
      <c r="A827" s="37" t="s">
        <v>97</v>
      </c>
      <c r="B827" s="38" t="str">
        <f t="shared" si="24"/>
        <v>05</v>
      </c>
      <c r="C827" s="39" t="str">
        <f>+_xlfn.XLOOKUP(A827,Hoja3!$C$3:$C$1124,Hoja3!$B$3:$B$1124)</f>
        <v>ANTIOQUIA</v>
      </c>
      <c r="D827" s="40" t="str">
        <f t="shared" si="25"/>
        <v>659</v>
      </c>
      <c r="E827" s="39" t="str">
        <f>+_xlfn.XLOOKUP(A827,Hoja3!$C$3:$C$1124,Hoja3!$D$3:$D$1124)</f>
        <v>SAN JUAN DE URABÁ</v>
      </c>
      <c r="F827" s="41">
        <v>43983</v>
      </c>
    </row>
    <row r="828" spans="1:6" x14ac:dyDescent="0.25">
      <c r="A828" s="37" t="s">
        <v>98</v>
      </c>
      <c r="B828" s="38" t="str">
        <f t="shared" si="24"/>
        <v>05</v>
      </c>
      <c r="C828" s="39" t="str">
        <f>+_xlfn.XLOOKUP(A828,Hoja3!$C$3:$C$1124,Hoja3!$B$3:$B$1124)</f>
        <v>ANTIOQUIA</v>
      </c>
      <c r="D828" s="40" t="str">
        <f t="shared" si="25"/>
        <v>660</v>
      </c>
      <c r="E828" s="39" t="str">
        <f>+_xlfn.XLOOKUP(A828,Hoja3!$C$3:$C$1124,Hoja3!$D$3:$D$1124)</f>
        <v>SAN LUIS</v>
      </c>
      <c r="F828" s="41">
        <v>44012</v>
      </c>
    </row>
    <row r="829" spans="1:6" x14ac:dyDescent="0.25">
      <c r="A829" s="37" t="s">
        <v>472</v>
      </c>
      <c r="B829" s="38" t="str">
        <f t="shared" si="24"/>
        <v>23</v>
      </c>
      <c r="C829" s="39" t="str">
        <f>+_xlfn.XLOOKUP(A829,Hoja3!$C$3:$C$1124,Hoja3!$B$3:$B$1124)</f>
        <v>CÓRDOBA</v>
      </c>
      <c r="D829" s="40" t="str">
        <f t="shared" si="25"/>
        <v>660</v>
      </c>
      <c r="E829" s="39" t="str">
        <f>+_xlfn.XLOOKUP(A829,Hoja3!$C$3:$C$1124,Hoja3!$D$3:$D$1124)</f>
        <v>SAHAGÚN</v>
      </c>
      <c r="F829" s="41">
        <v>43916</v>
      </c>
    </row>
    <row r="830" spans="1:6" x14ac:dyDescent="0.25">
      <c r="A830" s="37" t="s">
        <v>621</v>
      </c>
      <c r="B830" s="38" t="str">
        <f t="shared" si="24"/>
        <v>41</v>
      </c>
      <c r="C830" s="39" t="str">
        <f>+_xlfn.XLOOKUP(A830,Hoja3!$C$3:$C$1124,Hoja3!$B$3:$B$1124)</f>
        <v>HUILA</v>
      </c>
      <c r="D830" s="40" t="str">
        <f t="shared" si="25"/>
        <v>660</v>
      </c>
      <c r="E830" s="39" t="str">
        <f>+_xlfn.XLOOKUP(A830,Hoja3!$C$3:$C$1124,Hoja3!$D$3:$D$1124)</f>
        <v>SALADOBLANCO</v>
      </c>
      <c r="F830" s="41">
        <v>43953</v>
      </c>
    </row>
    <row r="831" spans="1:6" x14ac:dyDescent="0.25">
      <c r="A831" s="37" t="s">
        <v>666</v>
      </c>
      <c r="B831" s="38" t="str">
        <f t="shared" si="24"/>
        <v>47</v>
      </c>
      <c r="C831" s="39" t="str">
        <f>+_xlfn.XLOOKUP(A831,Hoja3!$C$3:$C$1124,Hoja3!$B$3:$B$1124)</f>
        <v>MAGDALENA</v>
      </c>
      <c r="D831" s="40" t="str">
        <f t="shared" si="25"/>
        <v>660</v>
      </c>
      <c r="E831" s="39" t="str">
        <f>+_xlfn.XLOOKUP(A831,Hoja3!$C$3:$C$1124,Hoja3!$D$3:$D$1124)</f>
        <v>SABANAS DE SAN ÁNGEL</v>
      </c>
      <c r="F831" s="41">
        <v>44036</v>
      </c>
    </row>
    <row r="832" spans="1:6" x14ac:dyDescent="0.25">
      <c r="A832" s="37" t="s">
        <v>793</v>
      </c>
      <c r="B832" s="38" t="str">
        <f t="shared" si="24"/>
        <v>54</v>
      </c>
      <c r="C832" s="39" t="str">
        <f>+_xlfn.XLOOKUP(A832,Hoja3!$C$3:$C$1124,Hoja3!$B$3:$B$1124)</f>
        <v>NORTE DE SANTANDER</v>
      </c>
      <c r="D832" s="40" t="str">
        <f t="shared" si="25"/>
        <v>660</v>
      </c>
      <c r="E832" s="39" t="str">
        <f>+_xlfn.XLOOKUP(A832,Hoja3!$C$3:$C$1124,Hoja3!$D$3:$D$1124)</f>
        <v>SALAZAR</v>
      </c>
      <c r="F832" s="41">
        <v>44051</v>
      </c>
    </row>
    <row r="833" spans="1:6" x14ac:dyDescent="0.25">
      <c r="A833" s="38" t="s">
        <v>2045</v>
      </c>
      <c r="B833" s="38" t="str">
        <f t="shared" si="24"/>
        <v>27</v>
      </c>
      <c r="C833" s="39" t="str">
        <f>+_xlfn.XLOOKUP(A833,Hoja3!$C$3:$C$1124,Hoja3!$B$3:$B$1124)</f>
        <v>CHOCÓ</v>
      </c>
      <c r="D833" s="40" t="str">
        <f t="shared" si="25"/>
        <v>660</v>
      </c>
      <c r="E833" s="39" t="str">
        <f>+_xlfn.XLOOKUP(A833,Hoja3!$C$3:$C$1124,Hoja3!$D$3:$D$1124)</f>
        <v>SAN JOSÉ DEL PALMAR</v>
      </c>
      <c r="F833" s="42">
        <v>45658</v>
      </c>
    </row>
    <row r="834" spans="1:6" x14ac:dyDescent="0.25">
      <c r="A834" s="38" t="s">
        <v>2082</v>
      </c>
      <c r="B834" s="38" t="str">
        <f t="shared" ref="B834:B897" si="26">MID(A834,1,2)</f>
        <v>15</v>
      </c>
      <c r="C834" s="39" t="str">
        <f>+_xlfn.XLOOKUP(A834,Hoja3!$C$3:$C$1124,Hoja3!$B$3:$B$1124)</f>
        <v>BOYACÁ</v>
      </c>
      <c r="D834" s="40" t="str">
        <f t="shared" ref="D834:D897" si="27">MID(A834,3,3)</f>
        <v>660</v>
      </c>
      <c r="E834" s="39" t="str">
        <f>+_xlfn.XLOOKUP(A834,Hoja3!$C$3:$C$1124,Hoja3!$D$3:$D$1124)</f>
        <v>SAN EDUARDO</v>
      </c>
      <c r="F834" s="42">
        <v>45658</v>
      </c>
    </row>
    <row r="835" spans="1:6" x14ac:dyDescent="0.25">
      <c r="A835" s="37" t="s">
        <v>326</v>
      </c>
      <c r="B835" s="38" t="str">
        <f t="shared" si="26"/>
        <v>17</v>
      </c>
      <c r="C835" s="39" t="str">
        <f>+_xlfn.XLOOKUP(A835,Hoja3!$C$3:$C$1124,Hoja3!$B$3:$B$1124)</f>
        <v>CALDAS</v>
      </c>
      <c r="D835" s="40" t="str">
        <f t="shared" si="27"/>
        <v>662</v>
      </c>
      <c r="E835" s="39" t="str">
        <f>+_xlfn.XLOOKUP(A835,Hoja3!$C$3:$C$1124,Hoja3!$D$3:$D$1124)</f>
        <v>SAMANÁ</v>
      </c>
      <c r="F835" s="41">
        <v>43941</v>
      </c>
    </row>
    <row r="836" spans="1:6" x14ac:dyDescent="0.25">
      <c r="A836" s="37" t="s">
        <v>555</v>
      </c>
      <c r="B836" s="38" t="str">
        <f t="shared" si="26"/>
        <v>25</v>
      </c>
      <c r="C836" s="39" t="str">
        <f>+_xlfn.XLOOKUP(A836,Hoja3!$C$3:$C$1124,Hoja3!$B$3:$B$1124)</f>
        <v>CUNDINAMARCA</v>
      </c>
      <c r="D836" s="40" t="str">
        <f t="shared" si="27"/>
        <v>662</v>
      </c>
      <c r="E836" s="39" t="str">
        <f>+_xlfn.XLOOKUP(A836,Hoja3!$C$3:$C$1124,Hoja3!$D$3:$D$1124)</f>
        <v>SAN JUAN DE RIOSECO</v>
      </c>
      <c r="F836" s="41">
        <v>43906</v>
      </c>
    </row>
    <row r="837" spans="1:6" x14ac:dyDescent="0.25">
      <c r="A837" s="37" t="s">
        <v>588</v>
      </c>
      <c r="B837" s="38" t="str">
        <f t="shared" si="26"/>
        <v>94</v>
      </c>
      <c r="C837" s="39" t="s">
        <v>1607</v>
      </c>
      <c r="D837" s="40" t="str">
        <f t="shared" si="27"/>
        <v>663</v>
      </c>
      <c r="E837" s="39" t="s">
        <v>4476</v>
      </c>
      <c r="F837" s="41">
        <v>43999</v>
      </c>
    </row>
    <row r="838" spans="1:6" x14ac:dyDescent="0.25">
      <c r="A838" s="37" t="s">
        <v>99</v>
      </c>
      <c r="B838" s="38" t="str">
        <f t="shared" si="26"/>
        <v>05</v>
      </c>
      <c r="C838" s="39" t="str">
        <f>+_xlfn.XLOOKUP(A838,Hoja3!$C$3:$C$1124,Hoja3!$B$3:$B$1124)</f>
        <v>ANTIOQUIA</v>
      </c>
      <c r="D838" s="40" t="str">
        <f t="shared" si="27"/>
        <v>664</v>
      </c>
      <c r="E838" s="39" t="str">
        <f>+_xlfn.XLOOKUP(A838,Hoja3!$C$3:$C$1124,Hoja3!$D$3:$D$1124)</f>
        <v>SAN PEDRO DE LOS MILAGROS</v>
      </c>
      <c r="F838" s="41">
        <v>44009</v>
      </c>
    </row>
    <row r="839" spans="1:6" x14ac:dyDescent="0.25">
      <c r="A839" s="37" t="s">
        <v>272</v>
      </c>
      <c r="B839" s="38" t="str">
        <f t="shared" si="26"/>
        <v>15</v>
      </c>
      <c r="C839" s="39" t="str">
        <f>+_xlfn.XLOOKUP(A839,Hoja3!$C$3:$C$1124,Hoja3!$B$3:$B$1124)</f>
        <v>BOYACÁ</v>
      </c>
      <c r="D839" s="40" t="str">
        <f t="shared" si="27"/>
        <v>664</v>
      </c>
      <c r="E839" s="39" t="str">
        <f>+_xlfn.XLOOKUP(A839,Hoja3!$C$3:$C$1124,Hoja3!$D$3:$D$1124)</f>
        <v>SAN JOSÉ DE PARE</v>
      </c>
      <c r="F839" s="41">
        <v>44043</v>
      </c>
    </row>
    <row r="840" spans="1:6" x14ac:dyDescent="0.25">
      <c r="A840" s="37" t="s">
        <v>100</v>
      </c>
      <c r="B840" s="38" t="str">
        <f t="shared" si="26"/>
        <v>05</v>
      </c>
      <c r="C840" s="39" t="str">
        <f>+_xlfn.XLOOKUP(A840,Hoja3!$C$3:$C$1124,Hoja3!$B$3:$B$1124)</f>
        <v>ANTIOQUIA</v>
      </c>
      <c r="D840" s="40" t="str">
        <f t="shared" si="27"/>
        <v>665</v>
      </c>
      <c r="E840" s="39" t="str">
        <f>+_xlfn.XLOOKUP(A840,Hoja3!$C$3:$C$1124,Hoja3!$D$3:$D$1124)</f>
        <v>SAN PEDRO DE URABÁ</v>
      </c>
      <c r="F840" s="41">
        <v>43932</v>
      </c>
    </row>
    <row r="841" spans="1:6" x14ac:dyDescent="0.25">
      <c r="A841" s="37" t="s">
        <v>327</v>
      </c>
      <c r="B841" s="38" t="str">
        <f t="shared" si="26"/>
        <v>17</v>
      </c>
      <c r="C841" s="39" t="str">
        <f>+_xlfn.XLOOKUP(A841,Hoja3!$C$3:$C$1124,Hoja3!$B$3:$B$1124)</f>
        <v>CALDAS</v>
      </c>
      <c r="D841" s="40" t="str">
        <f t="shared" si="27"/>
        <v>665</v>
      </c>
      <c r="E841" s="39" t="str">
        <f>+_xlfn.XLOOKUP(A841,Hoja3!$C$3:$C$1124,Hoja3!$D$3:$D$1124)</f>
        <v>SAN JOSÉ</v>
      </c>
      <c r="F841" s="41">
        <v>44064</v>
      </c>
    </row>
    <row r="842" spans="1:6" x14ac:dyDescent="0.25">
      <c r="A842" s="37" t="s">
        <v>1030</v>
      </c>
      <c r="B842" s="38" t="str">
        <f t="shared" si="26"/>
        <v>97</v>
      </c>
      <c r="C842" s="39" t="str">
        <f>+_xlfn.XLOOKUP(A842,Hoja3!$C$3:$C$1124,Hoja3!$B$3:$B$1124)</f>
        <v>VAUPÉS</v>
      </c>
      <c r="D842" s="40" t="str">
        <f t="shared" si="27"/>
        <v>666</v>
      </c>
      <c r="E842" s="39" t="str">
        <f>+_xlfn.XLOOKUP(A842,Hoja3!$C$3:$C$1124,Hoja3!$D$3:$D$1124)</f>
        <v>TARAIRA</v>
      </c>
      <c r="F842" s="41">
        <v>43994</v>
      </c>
    </row>
    <row r="843" spans="1:6" x14ac:dyDescent="0.25">
      <c r="A843" s="37" t="s">
        <v>101</v>
      </c>
      <c r="B843" s="38" t="str">
        <f t="shared" si="26"/>
        <v>05</v>
      </c>
      <c r="C843" s="39" t="str">
        <f>+_xlfn.XLOOKUP(A843,Hoja3!$C$3:$C$1124,Hoja3!$B$3:$B$1124)</f>
        <v>ANTIOQUIA</v>
      </c>
      <c r="D843" s="40" t="str">
        <f t="shared" si="27"/>
        <v>667</v>
      </c>
      <c r="E843" s="39" t="str">
        <f>+_xlfn.XLOOKUP(A843,Hoja3!$C$3:$C$1124,Hoja3!$D$3:$D$1124)</f>
        <v>SAN RAFAEL</v>
      </c>
      <c r="F843" s="41">
        <v>44012</v>
      </c>
    </row>
    <row r="844" spans="1:6" x14ac:dyDescent="0.25">
      <c r="A844" s="37" t="s">
        <v>192</v>
      </c>
      <c r="B844" s="38" t="str">
        <f t="shared" si="26"/>
        <v>13</v>
      </c>
      <c r="C844" s="39" t="str">
        <f>+_xlfn.XLOOKUP(A844,Hoja3!$C$3:$C$1124,Hoja3!$B$3:$B$1124)</f>
        <v>BOLÍVAR</v>
      </c>
      <c r="D844" s="40" t="str">
        <f t="shared" si="27"/>
        <v>667</v>
      </c>
      <c r="E844" s="39" t="str">
        <f>+_xlfn.XLOOKUP(A844,Hoja3!$C$3:$C$1124,Hoja3!$D$3:$D$1124)</f>
        <v>SAN MARTÍN DE LOBA</v>
      </c>
      <c r="F844" s="41">
        <v>44033</v>
      </c>
    </row>
    <row r="845" spans="1:6" x14ac:dyDescent="0.25">
      <c r="A845" s="37" t="s">
        <v>273</v>
      </c>
      <c r="B845" s="38" t="str">
        <f t="shared" si="26"/>
        <v>15</v>
      </c>
      <c r="C845" s="39" t="str">
        <f>+_xlfn.XLOOKUP(A845,Hoja3!$C$3:$C$1124,Hoja3!$B$3:$B$1124)</f>
        <v>BOYACÁ</v>
      </c>
      <c r="D845" s="40" t="str">
        <f t="shared" si="27"/>
        <v>667</v>
      </c>
      <c r="E845" s="39" t="str">
        <f>+_xlfn.XLOOKUP(A845,Hoja3!$C$3:$C$1124,Hoja3!$D$3:$D$1124)</f>
        <v>SAN LUIS DE GACENO</v>
      </c>
      <c r="F845" s="41">
        <v>44056</v>
      </c>
    </row>
    <row r="846" spans="1:6" x14ac:dyDescent="0.25">
      <c r="A846" s="37" t="s">
        <v>622</v>
      </c>
      <c r="B846" s="38" t="str">
        <f t="shared" si="26"/>
        <v>41</v>
      </c>
      <c r="C846" s="39" t="str">
        <f>+_xlfn.XLOOKUP(A846,Hoja3!$C$3:$C$1124,Hoja3!$B$3:$B$1124)</f>
        <v>HUILA</v>
      </c>
      <c r="D846" s="40" t="str">
        <f t="shared" si="27"/>
        <v>668</v>
      </c>
      <c r="E846" s="39" t="str">
        <f>+_xlfn.XLOOKUP(A846,Hoja3!$C$3:$C$1124,Hoja3!$D$3:$D$1124)</f>
        <v>SAN AGUSTÍN</v>
      </c>
      <c r="F846" s="41">
        <v>43904</v>
      </c>
    </row>
    <row r="847" spans="1:6" x14ac:dyDescent="0.25">
      <c r="A847" s="37" t="s">
        <v>4</v>
      </c>
      <c r="B847" s="38" t="str">
        <f t="shared" si="26"/>
        <v>91</v>
      </c>
      <c r="C847" s="39" t="str">
        <f>+_xlfn.XLOOKUP(A847,Hoja3!$C$3:$C$1124,Hoja3!$B$3:$B$1124)</f>
        <v>AMAZONAS</v>
      </c>
      <c r="D847" s="40" t="str">
        <f t="shared" si="27"/>
        <v>669</v>
      </c>
      <c r="E847" s="39" t="str">
        <f>+_xlfn.XLOOKUP(A847,Hoja3!$C$3:$C$1124,Hoja3!$D$3:$D$1124)</f>
        <v>PUERTO SANTANDER</v>
      </c>
      <c r="F847" s="41">
        <v>44006</v>
      </c>
    </row>
    <row r="848" spans="1:6" x14ac:dyDescent="0.25">
      <c r="A848" s="37" t="s">
        <v>902</v>
      </c>
      <c r="B848" s="38" t="str">
        <f t="shared" si="26"/>
        <v>68</v>
      </c>
      <c r="C848" s="39" t="str">
        <f>+_xlfn.XLOOKUP(A848,Hoja3!$C$3:$C$1124,Hoja3!$B$3:$B$1124)</f>
        <v>SANTANDER</v>
      </c>
      <c r="D848" s="40" t="str">
        <f t="shared" si="27"/>
        <v>669</v>
      </c>
      <c r="E848" s="39" t="str">
        <f>+_xlfn.XLOOKUP(A848,Hoja3!$C$3:$C$1124,Hoja3!$D$3:$D$1124)</f>
        <v>SAN ANDRÉS</v>
      </c>
      <c r="F848" s="41">
        <v>44032</v>
      </c>
    </row>
    <row r="849" spans="1:6" x14ac:dyDescent="0.25">
      <c r="A849" s="37" t="s">
        <v>102</v>
      </c>
      <c r="B849" s="38" t="str">
        <f t="shared" si="26"/>
        <v>05</v>
      </c>
      <c r="C849" s="39" t="str">
        <f>+_xlfn.XLOOKUP(A849,Hoja3!$C$3:$C$1124,Hoja3!$B$3:$B$1124)</f>
        <v>ANTIOQUIA</v>
      </c>
      <c r="D849" s="40" t="str">
        <f t="shared" si="27"/>
        <v>670</v>
      </c>
      <c r="E849" s="39" t="str">
        <f>+_xlfn.XLOOKUP(A849,Hoja3!$C$3:$C$1124,Hoja3!$D$3:$D$1124)</f>
        <v>SAN ROQUE</v>
      </c>
      <c r="F849" s="41">
        <v>43980</v>
      </c>
    </row>
    <row r="850" spans="1:6" x14ac:dyDescent="0.25">
      <c r="A850" s="37" t="s">
        <v>193</v>
      </c>
      <c r="B850" s="38" t="str">
        <f t="shared" si="26"/>
        <v>13</v>
      </c>
      <c r="C850" s="39" t="str">
        <f>+_xlfn.XLOOKUP(A850,Hoja3!$C$3:$C$1124,Hoja3!$B$3:$B$1124)</f>
        <v>BOLÍVAR</v>
      </c>
      <c r="D850" s="40" t="str">
        <f t="shared" si="27"/>
        <v>670</v>
      </c>
      <c r="E850" s="39" t="str">
        <f>+_xlfn.XLOOKUP(A850,Hoja3!$C$3:$C$1124,Hoja3!$D$3:$D$1124)</f>
        <v>SAN PABLO</v>
      </c>
      <c r="F850" s="41">
        <v>43972</v>
      </c>
    </row>
    <row r="851" spans="1:6" x14ac:dyDescent="0.25">
      <c r="A851" s="37" t="s">
        <v>473</v>
      </c>
      <c r="B851" s="38" t="str">
        <f t="shared" si="26"/>
        <v>23</v>
      </c>
      <c r="C851" s="39" t="str">
        <f>+_xlfn.XLOOKUP(A851,Hoja3!$C$3:$C$1124,Hoja3!$B$3:$B$1124)</f>
        <v>CÓRDOBA</v>
      </c>
      <c r="D851" s="40" t="str">
        <f t="shared" si="27"/>
        <v>670</v>
      </c>
      <c r="E851" s="39" t="str">
        <f>+_xlfn.XLOOKUP(A851,Hoja3!$C$3:$C$1124,Hoja3!$D$3:$D$1124)</f>
        <v>SAN ANDRÉS DE SOTAVENTO</v>
      </c>
      <c r="F851" s="41">
        <v>43990</v>
      </c>
    </row>
    <row r="852" spans="1:6" x14ac:dyDescent="0.25">
      <c r="A852" s="37" t="s">
        <v>794</v>
      </c>
      <c r="B852" s="38" t="str">
        <f t="shared" si="26"/>
        <v>54</v>
      </c>
      <c r="C852" s="39" t="str">
        <f>+_xlfn.XLOOKUP(A852,Hoja3!$C$3:$C$1124,Hoja3!$B$3:$B$1124)</f>
        <v>NORTE DE SANTANDER</v>
      </c>
      <c r="D852" s="40" t="str">
        <f t="shared" si="27"/>
        <v>670</v>
      </c>
      <c r="E852" s="39" t="str">
        <f>+_xlfn.XLOOKUP(A852,Hoja3!$C$3:$C$1124,Hoja3!$D$3:$D$1124)</f>
        <v>SAN CALIXTO</v>
      </c>
      <c r="F852" s="41">
        <v>44022</v>
      </c>
    </row>
    <row r="853" spans="1:6" x14ac:dyDescent="0.25">
      <c r="A853" s="37" t="s">
        <v>935</v>
      </c>
      <c r="B853" s="38" t="str">
        <f t="shared" si="26"/>
        <v>70</v>
      </c>
      <c r="C853" s="39" t="str">
        <f>+_xlfn.XLOOKUP(A853,Hoja3!$C$3:$C$1124,Hoja3!$B$3:$B$1124)</f>
        <v>SUCRE</v>
      </c>
      <c r="D853" s="40" t="str">
        <f t="shared" si="27"/>
        <v>670</v>
      </c>
      <c r="E853" s="39" t="str">
        <f>+_xlfn.XLOOKUP(A853,Hoja3!$C$3:$C$1124,Hoja3!$D$3:$D$1124)</f>
        <v>SAMPUÉS</v>
      </c>
      <c r="F853" s="41">
        <v>43977</v>
      </c>
    </row>
    <row r="854" spans="1:6" x14ac:dyDescent="0.25">
      <c r="A854" s="37" t="s">
        <v>1018</v>
      </c>
      <c r="B854" s="38" t="str">
        <f t="shared" si="26"/>
        <v>76</v>
      </c>
      <c r="C854" s="39" t="str">
        <f>+_xlfn.XLOOKUP(A854,Hoja3!$C$3:$C$1124,Hoja3!$B$3:$B$1124)</f>
        <v>VALLE DEL CAUCA</v>
      </c>
      <c r="D854" s="40" t="str">
        <f t="shared" si="27"/>
        <v>670</v>
      </c>
      <c r="E854" s="39" t="str">
        <f>+_xlfn.XLOOKUP(A854,Hoja3!$C$3:$C$1124,Hoja3!$D$3:$D$1124)</f>
        <v>SAN PEDRO</v>
      </c>
      <c r="F854" s="41">
        <v>43900</v>
      </c>
    </row>
    <row r="855" spans="1:6" x14ac:dyDescent="0.25">
      <c r="A855" s="37" t="s">
        <v>980</v>
      </c>
      <c r="B855" s="38" t="str">
        <f t="shared" si="26"/>
        <v>73</v>
      </c>
      <c r="C855" s="39" t="str">
        <f>+_xlfn.XLOOKUP(A855,Hoja3!$C$3:$C$1124,Hoja3!$B$3:$B$1124)</f>
        <v>TOLIMA</v>
      </c>
      <c r="D855" s="40" t="str">
        <f t="shared" si="27"/>
        <v>671</v>
      </c>
      <c r="E855" s="39" t="str">
        <f>+_xlfn.XLOOKUP(A855,Hoja3!$C$3:$C$1124,Hoja3!$D$3:$D$1124)</f>
        <v>SALDAÑA</v>
      </c>
      <c r="F855" s="41">
        <v>44016</v>
      </c>
    </row>
    <row r="856" spans="1:6" x14ac:dyDescent="0.25">
      <c r="A856" s="37" t="s">
        <v>474</v>
      </c>
      <c r="B856" s="38" t="str">
        <f t="shared" si="26"/>
        <v>23</v>
      </c>
      <c r="C856" s="39" t="str">
        <f>+_xlfn.XLOOKUP(A856,Hoja3!$C$3:$C$1124,Hoja3!$B$3:$B$1124)</f>
        <v>CÓRDOBA</v>
      </c>
      <c r="D856" s="40" t="str">
        <f t="shared" si="27"/>
        <v>672</v>
      </c>
      <c r="E856" s="39" t="str">
        <f>+_xlfn.XLOOKUP(A856,Hoja3!$C$3:$C$1124,Hoja3!$D$3:$D$1124)</f>
        <v>SAN ANTERO</v>
      </c>
      <c r="F856" s="41">
        <v>43997</v>
      </c>
    </row>
    <row r="857" spans="1:6" x14ac:dyDescent="0.25">
      <c r="A857" s="37" t="s">
        <v>194</v>
      </c>
      <c r="B857" s="38" t="str">
        <f t="shared" si="26"/>
        <v>13</v>
      </c>
      <c r="C857" s="39" t="str">
        <f>+_xlfn.XLOOKUP(A857,Hoja3!$C$3:$C$1124,Hoja3!$B$3:$B$1124)</f>
        <v>BOLÍVAR</v>
      </c>
      <c r="D857" s="40" t="str">
        <f t="shared" si="27"/>
        <v>673</v>
      </c>
      <c r="E857" s="39" t="str">
        <f>+_xlfn.XLOOKUP(A857,Hoja3!$C$3:$C$1124,Hoja3!$D$3:$D$1124)</f>
        <v>SANTA CATALINA</v>
      </c>
      <c r="F857" s="41">
        <v>43962</v>
      </c>
    </row>
    <row r="858" spans="1:6" x14ac:dyDescent="0.25">
      <c r="A858" s="37" t="s">
        <v>795</v>
      </c>
      <c r="B858" s="38" t="str">
        <f t="shared" si="26"/>
        <v>54</v>
      </c>
      <c r="C858" s="39" t="str">
        <f>+_xlfn.XLOOKUP(A858,Hoja3!$C$3:$C$1124,Hoja3!$B$3:$B$1124)</f>
        <v>NORTE DE SANTANDER</v>
      </c>
      <c r="D858" s="40" t="str">
        <f t="shared" si="27"/>
        <v>673</v>
      </c>
      <c r="E858" s="39" t="str">
        <f>+_xlfn.XLOOKUP(A858,Hoja3!$C$3:$C$1124,Hoja3!$D$3:$D$1124)</f>
        <v>SAN CAYETANO</v>
      </c>
      <c r="F858" s="41">
        <v>44021</v>
      </c>
    </row>
    <row r="859" spans="1:6" x14ac:dyDescent="0.25">
      <c r="A859" s="37" t="s">
        <v>903</v>
      </c>
      <c r="B859" s="38" t="str">
        <f t="shared" si="26"/>
        <v>68</v>
      </c>
      <c r="C859" s="39" t="str">
        <f>+_xlfn.XLOOKUP(A859,Hoja3!$C$3:$C$1124,Hoja3!$B$3:$B$1124)</f>
        <v>SANTANDER</v>
      </c>
      <c r="D859" s="40" t="str">
        <f t="shared" si="27"/>
        <v>673</v>
      </c>
      <c r="E859" s="39" t="str">
        <f>+_xlfn.XLOOKUP(A859,Hoja3!$C$3:$C$1124,Hoja3!$D$3:$D$1124)</f>
        <v>SAN BENITO</v>
      </c>
      <c r="F859" s="41">
        <v>44027</v>
      </c>
    </row>
    <row r="860" spans="1:6" x14ac:dyDescent="0.25">
      <c r="A860" s="38" t="s">
        <v>2100</v>
      </c>
      <c r="B860" s="38" t="str">
        <f t="shared" si="26"/>
        <v>15</v>
      </c>
      <c r="C860" s="39" t="str">
        <f>+_xlfn.XLOOKUP(A860,Hoja3!$C$3:$C$1124,Hoja3!$B$3:$B$1124)</f>
        <v>BOYACÁ</v>
      </c>
      <c r="D860" s="40" t="str">
        <f t="shared" si="27"/>
        <v>673</v>
      </c>
      <c r="E860" s="39" t="str">
        <f>+_xlfn.XLOOKUP(A860,Hoja3!$C$3:$C$1124,Hoja3!$D$3:$D$1124)</f>
        <v>SAN MATEO</v>
      </c>
      <c r="F860" s="42">
        <v>45658</v>
      </c>
    </row>
    <row r="861" spans="1:6" x14ac:dyDescent="0.25">
      <c r="A861" s="37" t="s">
        <v>103</v>
      </c>
      <c r="B861" s="38" t="str">
        <f t="shared" si="26"/>
        <v>05</v>
      </c>
      <c r="C861" s="39" t="str">
        <f>+_xlfn.XLOOKUP(A861,Hoja3!$C$3:$C$1124,Hoja3!$B$3:$B$1124)</f>
        <v>ANTIOQUIA</v>
      </c>
      <c r="D861" s="40" t="str">
        <f t="shared" si="27"/>
        <v>674</v>
      </c>
      <c r="E861" s="39" t="str">
        <f>+_xlfn.XLOOKUP(A861,Hoja3!$C$3:$C$1124,Hoja3!$D$3:$D$1124)</f>
        <v>SAN VICENTE FERRER</v>
      </c>
      <c r="F861" s="41">
        <v>44008</v>
      </c>
    </row>
    <row r="862" spans="1:6" x14ac:dyDescent="0.25">
      <c r="A862" s="37" t="s">
        <v>152</v>
      </c>
      <c r="B862" s="38" t="str">
        <f t="shared" si="26"/>
        <v>08</v>
      </c>
      <c r="C862" s="39" t="str">
        <f>+_xlfn.XLOOKUP(A862,Hoja3!$C$3:$C$1124,Hoja3!$B$3:$B$1124)</f>
        <v>ATLÁNTICO</v>
      </c>
      <c r="D862" s="40" t="str">
        <f t="shared" si="27"/>
        <v>675</v>
      </c>
      <c r="E862" s="39" t="str">
        <f>+_xlfn.XLOOKUP(A862,Hoja3!$C$3:$C$1124,Hoja3!$D$3:$D$1124)</f>
        <v>SANTA LUCÍA</v>
      </c>
      <c r="F862" s="41">
        <v>43943</v>
      </c>
    </row>
    <row r="863" spans="1:6" x14ac:dyDescent="0.25">
      <c r="A863" s="37" t="s">
        <v>475</v>
      </c>
      <c r="B863" s="38" t="str">
        <f t="shared" si="26"/>
        <v>23</v>
      </c>
      <c r="C863" s="39" t="str">
        <f>+_xlfn.XLOOKUP(A863,Hoja3!$C$3:$C$1124,Hoja3!$B$3:$B$1124)</f>
        <v>CÓRDOBA</v>
      </c>
      <c r="D863" s="40" t="str">
        <f t="shared" si="27"/>
        <v>675</v>
      </c>
      <c r="E863" s="39" t="str">
        <f>+_xlfn.XLOOKUP(A863,Hoja3!$C$3:$C$1124,Hoja3!$D$3:$D$1124)</f>
        <v>SAN BERNARDO DEL VIENTO</v>
      </c>
      <c r="F863" s="41">
        <v>43972</v>
      </c>
    </row>
    <row r="864" spans="1:6" x14ac:dyDescent="0.25">
      <c r="A864" s="37" t="s">
        <v>667</v>
      </c>
      <c r="B864" s="38" t="str">
        <f t="shared" si="26"/>
        <v>47</v>
      </c>
      <c r="C864" s="39" t="str">
        <f>+_xlfn.XLOOKUP(A864,Hoja3!$C$3:$C$1124,Hoja3!$B$3:$B$1124)</f>
        <v>MAGDALENA</v>
      </c>
      <c r="D864" s="40" t="str">
        <f t="shared" si="27"/>
        <v>675</v>
      </c>
      <c r="E864" s="39" t="str">
        <f>+_xlfn.XLOOKUP(A864,Hoja3!$C$3:$C$1124,Hoja3!$D$3:$D$1124)</f>
        <v>SALAMINA</v>
      </c>
      <c r="F864" s="41">
        <v>44036</v>
      </c>
    </row>
    <row r="865" spans="1:6" x14ac:dyDescent="0.25">
      <c r="A865" s="37" t="s">
        <v>981</v>
      </c>
      <c r="B865" s="38" t="str">
        <f t="shared" si="26"/>
        <v>73</v>
      </c>
      <c r="C865" s="39" t="str">
        <f>+_xlfn.XLOOKUP(A865,Hoja3!$C$3:$C$1124,Hoja3!$B$3:$B$1124)</f>
        <v>TOLIMA</v>
      </c>
      <c r="D865" s="40" t="str">
        <f t="shared" si="27"/>
        <v>675</v>
      </c>
      <c r="E865" s="39" t="str">
        <f>+_xlfn.XLOOKUP(A865,Hoja3!$C$3:$C$1124,Hoja3!$D$3:$D$1124)</f>
        <v>SAN ANTONIO</v>
      </c>
      <c r="F865" s="41">
        <v>43992</v>
      </c>
    </row>
    <row r="866" spans="1:6" x14ac:dyDescent="0.25">
      <c r="A866" s="37" t="s">
        <v>274</v>
      </c>
      <c r="B866" s="38" t="str">
        <f t="shared" si="26"/>
        <v>15</v>
      </c>
      <c r="C866" s="39" t="str">
        <f>+_xlfn.XLOOKUP(A866,Hoja3!$C$3:$C$1124,Hoja3!$B$3:$B$1124)</f>
        <v>BOYACÁ</v>
      </c>
      <c r="D866" s="40" t="str">
        <f t="shared" si="27"/>
        <v>676</v>
      </c>
      <c r="E866" s="39" t="str">
        <f>+_xlfn.XLOOKUP(A866,Hoja3!$C$3:$C$1124,Hoja3!$D$3:$D$1124)</f>
        <v>SAN MIGUEL DE SEMA</v>
      </c>
      <c r="F866" s="41">
        <v>43964</v>
      </c>
    </row>
    <row r="867" spans="1:6" x14ac:dyDescent="0.25">
      <c r="A867" s="37" t="s">
        <v>623</v>
      </c>
      <c r="B867" s="38" t="str">
        <f t="shared" si="26"/>
        <v>41</v>
      </c>
      <c r="C867" s="39" t="str">
        <f>+_xlfn.XLOOKUP(A867,Hoja3!$C$3:$C$1124,Hoja3!$B$3:$B$1124)</f>
        <v>HUILA</v>
      </c>
      <c r="D867" s="40" t="str">
        <f t="shared" si="27"/>
        <v>676</v>
      </c>
      <c r="E867" s="39" t="str">
        <f>+_xlfn.XLOOKUP(A867,Hoja3!$C$3:$C$1124,Hoja3!$D$3:$D$1124)</f>
        <v>SANTA MARÍA</v>
      </c>
      <c r="F867" s="41">
        <v>44008</v>
      </c>
    </row>
    <row r="868" spans="1:6" x14ac:dyDescent="0.25">
      <c r="A868" s="37" t="s">
        <v>476</v>
      </c>
      <c r="B868" s="38" t="str">
        <f t="shared" si="26"/>
        <v>23</v>
      </c>
      <c r="C868" s="39" t="str">
        <f>+_xlfn.XLOOKUP(A868,Hoja3!$C$3:$C$1124,Hoja3!$B$3:$B$1124)</f>
        <v>CÓRDOBA</v>
      </c>
      <c r="D868" s="40" t="str">
        <f t="shared" si="27"/>
        <v>678</v>
      </c>
      <c r="E868" s="39" t="str">
        <f>+_xlfn.XLOOKUP(A868,Hoja3!$C$3:$C$1124,Hoja3!$D$3:$D$1124)</f>
        <v>SAN CARLOS</v>
      </c>
      <c r="F868" s="41">
        <v>43987</v>
      </c>
    </row>
    <row r="869" spans="1:6" x14ac:dyDescent="0.25">
      <c r="A869" s="37" t="s">
        <v>751</v>
      </c>
      <c r="B869" s="38" t="str">
        <f t="shared" si="26"/>
        <v>52</v>
      </c>
      <c r="C869" s="39" t="str">
        <f>+_xlfn.XLOOKUP(A869,Hoja3!$C$3:$C$1124,Hoja3!$B$3:$B$1124)</f>
        <v>NARIÑO</v>
      </c>
      <c r="D869" s="40" t="str">
        <f t="shared" si="27"/>
        <v>678</v>
      </c>
      <c r="E869" s="39" t="str">
        <f>+_xlfn.XLOOKUP(A869,Hoja3!$C$3:$C$1124,Hoja3!$D$3:$D$1124)</f>
        <v>SAMANIEGO</v>
      </c>
      <c r="F869" s="41">
        <v>43984</v>
      </c>
    </row>
    <row r="870" spans="1:6" x14ac:dyDescent="0.25">
      <c r="A870" s="37" t="s">
        <v>936</v>
      </c>
      <c r="B870" s="38" t="str">
        <f t="shared" si="26"/>
        <v>70</v>
      </c>
      <c r="C870" s="39" t="str">
        <f>+_xlfn.XLOOKUP(A870,Hoja3!$C$3:$C$1124,Hoja3!$B$3:$B$1124)</f>
        <v>SUCRE</v>
      </c>
      <c r="D870" s="40" t="str">
        <f t="shared" si="27"/>
        <v>678</v>
      </c>
      <c r="E870" s="39" t="str">
        <f>+_xlfn.XLOOKUP(A870,Hoja3!$C$3:$C$1124,Hoja3!$D$3:$D$1124)</f>
        <v>SAN BENITO ABAD</v>
      </c>
      <c r="F870" s="41">
        <v>43997</v>
      </c>
    </row>
    <row r="871" spans="1:6" x14ac:dyDescent="0.25">
      <c r="A871" s="37" t="s">
        <v>982</v>
      </c>
      <c r="B871" s="38" t="str">
        <f t="shared" si="26"/>
        <v>73</v>
      </c>
      <c r="C871" s="39" t="str">
        <f>+_xlfn.XLOOKUP(A871,Hoja3!$C$3:$C$1124,Hoja3!$B$3:$B$1124)</f>
        <v>TOLIMA</v>
      </c>
      <c r="D871" s="40" t="str">
        <f t="shared" si="27"/>
        <v>678</v>
      </c>
      <c r="E871" s="39" t="str">
        <f>+_xlfn.XLOOKUP(A871,Hoja3!$C$3:$C$1124,Hoja3!$D$3:$D$1124)</f>
        <v>SAN LUIS</v>
      </c>
      <c r="F871" s="41">
        <v>43954</v>
      </c>
    </row>
    <row r="872" spans="1:6" x14ac:dyDescent="0.25">
      <c r="A872" s="37" t="s">
        <v>104</v>
      </c>
      <c r="B872" s="38" t="str">
        <f t="shared" si="26"/>
        <v>05</v>
      </c>
      <c r="C872" s="39" t="str">
        <f>+_xlfn.XLOOKUP(A872,Hoja3!$C$3:$C$1124,Hoja3!$B$3:$B$1124)</f>
        <v>ANTIOQUIA</v>
      </c>
      <c r="D872" s="40" t="str">
        <f t="shared" si="27"/>
        <v>679</v>
      </c>
      <c r="E872" s="39" t="str">
        <f>+_xlfn.XLOOKUP(A872,Hoja3!$C$3:$C$1124,Hoja3!$D$3:$D$1124)</f>
        <v>SANTA BÁRBARA</v>
      </c>
      <c r="F872" s="41">
        <v>44003</v>
      </c>
    </row>
    <row r="873" spans="1:6" x14ac:dyDescent="0.25">
      <c r="A873" s="37" t="s">
        <v>904</v>
      </c>
      <c r="B873" s="38" t="str">
        <f t="shared" si="26"/>
        <v>68</v>
      </c>
      <c r="C873" s="39" t="str">
        <f>+_xlfn.XLOOKUP(A873,Hoja3!$C$3:$C$1124,Hoja3!$B$3:$B$1124)</f>
        <v>SANTANDER</v>
      </c>
      <c r="D873" s="40" t="str">
        <f t="shared" si="27"/>
        <v>679</v>
      </c>
      <c r="E873" s="39" t="str">
        <f>+_xlfn.XLOOKUP(A873,Hoja3!$C$3:$C$1124,Hoja3!$D$3:$D$1124)</f>
        <v>SAN GIL</v>
      </c>
      <c r="F873" s="41">
        <v>43994</v>
      </c>
    </row>
    <row r="874" spans="1:6" x14ac:dyDescent="0.25">
      <c r="A874" s="37" t="s">
        <v>698</v>
      </c>
      <c r="B874" s="38" t="str">
        <f t="shared" si="26"/>
        <v>50</v>
      </c>
      <c r="C874" s="39" t="str">
        <f>+_xlfn.XLOOKUP(A874,Hoja3!$C$3:$C$1124,Hoja3!$B$3:$B$1124)</f>
        <v>META</v>
      </c>
      <c r="D874" s="40" t="str">
        <f t="shared" si="27"/>
        <v>680</v>
      </c>
      <c r="E874" s="39" t="str">
        <f>+_xlfn.XLOOKUP(A874,Hoja3!$C$3:$C$1124,Hoja3!$D$3:$D$1124)</f>
        <v>SAN CARLOS DE GUAROA</v>
      </c>
      <c r="F874" s="41">
        <v>43957</v>
      </c>
    </row>
    <row r="875" spans="1:6" x14ac:dyDescent="0.25">
      <c r="A875" s="37" t="s">
        <v>796</v>
      </c>
      <c r="B875" s="38" t="str">
        <f t="shared" si="26"/>
        <v>54</v>
      </c>
      <c r="C875" s="39" t="str">
        <f>+_xlfn.XLOOKUP(A875,Hoja3!$C$3:$C$1124,Hoja3!$B$3:$B$1124)</f>
        <v>NORTE DE SANTANDER</v>
      </c>
      <c r="D875" s="40" t="str">
        <f t="shared" si="27"/>
        <v>680</v>
      </c>
      <c r="E875" s="39" t="str">
        <f>+_xlfn.XLOOKUP(A875,Hoja3!$C$3:$C$1124,Hoja3!$D$3:$D$1124)</f>
        <v>SANTIAGO</v>
      </c>
      <c r="F875" s="41">
        <v>43997</v>
      </c>
    </row>
    <row r="876" spans="1:6" x14ac:dyDescent="0.25">
      <c r="A876" s="37" t="s">
        <v>275</v>
      </c>
      <c r="B876" s="38" t="str">
        <f t="shared" si="26"/>
        <v>15</v>
      </c>
      <c r="C876" s="39" t="str">
        <f>+_xlfn.XLOOKUP(A876,Hoja3!$C$3:$C$1124,Hoja3!$B$3:$B$1124)</f>
        <v>BOYACÁ</v>
      </c>
      <c r="D876" s="40" t="str">
        <f t="shared" si="27"/>
        <v>681</v>
      </c>
      <c r="E876" s="39" t="str">
        <f>+_xlfn.XLOOKUP(A876,Hoja3!$C$3:$C$1124,Hoja3!$D$3:$D$1124)</f>
        <v>SAN PABLO DE BORBUR</v>
      </c>
      <c r="F876" s="41">
        <v>44038</v>
      </c>
    </row>
    <row r="877" spans="1:6" x14ac:dyDescent="0.25">
      <c r="A877" s="37" t="s">
        <v>477</v>
      </c>
      <c r="B877" s="38" t="str">
        <f t="shared" si="26"/>
        <v>23</v>
      </c>
      <c r="C877" s="39" t="str">
        <f>+_xlfn.XLOOKUP(A877,Hoja3!$C$3:$C$1124,Hoja3!$B$3:$B$1124)</f>
        <v>CÓRDOBA</v>
      </c>
      <c r="D877" s="40" t="str">
        <f t="shared" si="27"/>
        <v>682</v>
      </c>
      <c r="E877" s="39" t="str">
        <f>+_xlfn.XLOOKUP(A877,Hoja3!$C$3:$C$1124,Hoja3!$D$3:$D$1124)</f>
        <v>SAN JOSÉ DE URÉ</v>
      </c>
      <c r="F877" s="41">
        <v>43984</v>
      </c>
    </row>
    <row r="878" spans="1:6" x14ac:dyDescent="0.25">
      <c r="A878" s="37" t="s">
        <v>840</v>
      </c>
      <c r="B878" s="38" t="str">
        <f t="shared" si="26"/>
        <v>66</v>
      </c>
      <c r="C878" s="39" t="str">
        <f>+_xlfn.XLOOKUP(A878,Hoja3!$C$3:$C$1124,Hoja3!$B$3:$B$1124)</f>
        <v>RISARALDA</v>
      </c>
      <c r="D878" s="40" t="str">
        <f t="shared" si="27"/>
        <v>682</v>
      </c>
      <c r="E878" s="39" t="str">
        <f>+_xlfn.XLOOKUP(A878,Hoja3!$C$3:$C$1124,Hoja3!$D$3:$D$1124)</f>
        <v>SANTA ROSA DE CABAL</v>
      </c>
      <c r="F878" s="41">
        <v>43911</v>
      </c>
    </row>
    <row r="879" spans="1:6" x14ac:dyDescent="0.25">
      <c r="A879" s="37" t="s">
        <v>905</v>
      </c>
      <c r="B879" s="38" t="str">
        <f t="shared" si="26"/>
        <v>68</v>
      </c>
      <c r="C879" s="39" t="str">
        <f>+_xlfn.XLOOKUP(A879,Hoja3!$C$3:$C$1124,Hoja3!$B$3:$B$1124)</f>
        <v>SANTANDER</v>
      </c>
      <c r="D879" s="40" t="str">
        <f t="shared" si="27"/>
        <v>682</v>
      </c>
      <c r="E879" s="39" t="str">
        <f>+_xlfn.XLOOKUP(A879,Hoja3!$C$3:$C$1124,Hoja3!$D$3:$D$1124)</f>
        <v>SAN JOAQUÍN</v>
      </c>
      <c r="F879" s="41">
        <v>44011</v>
      </c>
    </row>
    <row r="880" spans="1:6" x14ac:dyDescent="0.25">
      <c r="A880" s="37" t="s">
        <v>195</v>
      </c>
      <c r="B880" s="38" t="str">
        <f t="shared" si="26"/>
        <v>13</v>
      </c>
      <c r="C880" s="39" t="str">
        <f>+_xlfn.XLOOKUP(A880,Hoja3!$C$3:$C$1124,Hoja3!$B$3:$B$1124)</f>
        <v>BOLÍVAR</v>
      </c>
      <c r="D880" s="40" t="str">
        <f t="shared" si="27"/>
        <v>683</v>
      </c>
      <c r="E880" s="39" t="str">
        <f>+_xlfn.XLOOKUP(A880,Hoja3!$C$3:$C$1124,Hoja3!$D$3:$D$1124)</f>
        <v>SANTA ROSA</v>
      </c>
      <c r="F880" s="41">
        <v>43938</v>
      </c>
    </row>
    <row r="881" spans="1:6" x14ac:dyDescent="0.25">
      <c r="A881" s="37" t="s">
        <v>699</v>
      </c>
      <c r="B881" s="38" t="str">
        <f t="shared" si="26"/>
        <v>50</v>
      </c>
      <c r="C881" s="39" t="str">
        <f>+_xlfn.XLOOKUP(A881,Hoja3!$C$3:$C$1124,Hoja3!$B$3:$B$1124)</f>
        <v>META</v>
      </c>
      <c r="D881" s="40" t="str">
        <f t="shared" si="27"/>
        <v>683</v>
      </c>
      <c r="E881" s="39" t="str">
        <f>+_xlfn.XLOOKUP(A881,Hoja3!$C$3:$C$1124,Hoja3!$D$3:$D$1124)</f>
        <v>SAN JUAN DE ARAMA</v>
      </c>
      <c r="F881" s="41">
        <v>43949</v>
      </c>
    </row>
    <row r="882" spans="1:6" x14ac:dyDescent="0.25">
      <c r="A882" s="37" t="s">
        <v>752</v>
      </c>
      <c r="B882" s="38" t="str">
        <f t="shared" si="26"/>
        <v>52</v>
      </c>
      <c r="C882" s="39" t="str">
        <f>+_xlfn.XLOOKUP(A882,Hoja3!$C$3:$C$1124,Hoja3!$B$3:$B$1124)</f>
        <v>NARIÑO</v>
      </c>
      <c r="D882" s="40" t="str">
        <f t="shared" si="27"/>
        <v>683</v>
      </c>
      <c r="E882" s="39" t="str">
        <f>+_xlfn.XLOOKUP(A882,Hoja3!$C$3:$C$1124,Hoja3!$D$3:$D$1124)</f>
        <v>SANDONÁ</v>
      </c>
      <c r="F882" s="41">
        <v>43978</v>
      </c>
    </row>
    <row r="883" spans="1:6" x14ac:dyDescent="0.25">
      <c r="A883" s="37" t="s">
        <v>906</v>
      </c>
      <c r="B883" s="38" t="str">
        <f t="shared" si="26"/>
        <v>68</v>
      </c>
      <c r="C883" s="39" t="str">
        <f>+_xlfn.XLOOKUP(A883,Hoja3!$C$3:$C$1124,Hoja3!$B$3:$B$1124)</f>
        <v>SANTANDER</v>
      </c>
      <c r="D883" s="40" t="str">
        <f t="shared" si="27"/>
        <v>684</v>
      </c>
      <c r="E883" s="39" t="str">
        <f>+_xlfn.XLOOKUP(A883,Hoja3!$C$3:$C$1124,Hoja3!$D$3:$D$1124)</f>
        <v>SAN JOSÉ DE MIRANDA</v>
      </c>
      <c r="F883" s="41">
        <v>44024</v>
      </c>
    </row>
    <row r="884" spans="1:6" x14ac:dyDescent="0.25">
      <c r="A884" s="37" t="s">
        <v>153</v>
      </c>
      <c r="B884" s="38" t="str">
        <f t="shared" si="26"/>
        <v>08</v>
      </c>
      <c r="C884" s="39" t="str">
        <f>+_xlfn.XLOOKUP(A884,Hoja3!$C$3:$C$1124,Hoja3!$B$3:$B$1124)</f>
        <v>ATLÁNTICO</v>
      </c>
      <c r="D884" s="40" t="str">
        <f t="shared" si="27"/>
        <v>685</v>
      </c>
      <c r="E884" s="39" t="str">
        <f>+_xlfn.XLOOKUP(A884,Hoja3!$C$3:$C$1124,Hoja3!$D$3:$D$1124)</f>
        <v>SANTO TOMÁS</v>
      </c>
      <c r="F884" s="41">
        <v>43903</v>
      </c>
    </row>
    <row r="885" spans="1:6" x14ac:dyDescent="0.25">
      <c r="A885" s="37" t="s">
        <v>753</v>
      </c>
      <c r="B885" s="38" t="str">
        <f t="shared" si="26"/>
        <v>52</v>
      </c>
      <c r="C885" s="39" t="str">
        <f>+_xlfn.XLOOKUP(A885,Hoja3!$C$3:$C$1124,Hoja3!$B$3:$B$1124)</f>
        <v>NARIÑO</v>
      </c>
      <c r="D885" s="40" t="str">
        <f t="shared" si="27"/>
        <v>685</v>
      </c>
      <c r="E885" s="39" t="str">
        <f>+_xlfn.XLOOKUP(A885,Hoja3!$C$3:$C$1124,Hoja3!$D$3:$D$1124)</f>
        <v>SAN BERNARDO</v>
      </c>
      <c r="F885" s="41">
        <v>43964</v>
      </c>
    </row>
    <row r="886" spans="1:6" x14ac:dyDescent="0.25">
      <c r="A886" s="37" t="s">
        <v>105</v>
      </c>
      <c r="B886" s="38" t="str">
        <f t="shared" si="26"/>
        <v>05</v>
      </c>
      <c r="C886" s="39" t="str">
        <f>+_xlfn.XLOOKUP(A886,Hoja3!$C$3:$C$1124,Hoja3!$B$3:$B$1124)</f>
        <v>ANTIOQUIA</v>
      </c>
      <c r="D886" s="40" t="str">
        <f t="shared" si="27"/>
        <v>686</v>
      </c>
      <c r="E886" s="39" t="str">
        <f>+_xlfn.XLOOKUP(A886,Hoja3!$C$3:$C$1124,Hoja3!$D$3:$D$1124)</f>
        <v>SANTA ROSA DE OSOS</v>
      </c>
      <c r="F886" s="41">
        <v>43906</v>
      </c>
    </row>
    <row r="887" spans="1:6" x14ac:dyDescent="0.25">
      <c r="A887" s="37" t="s">
        <v>276</v>
      </c>
      <c r="B887" s="38" t="str">
        <f t="shared" si="26"/>
        <v>15</v>
      </c>
      <c r="C887" s="39" t="str">
        <f>+_xlfn.XLOOKUP(A887,Hoja3!$C$3:$C$1124,Hoja3!$B$3:$B$1124)</f>
        <v>BOYACÁ</v>
      </c>
      <c r="D887" s="40" t="str">
        <f t="shared" si="27"/>
        <v>686</v>
      </c>
      <c r="E887" s="39" t="str">
        <f>+_xlfn.XLOOKUP(A887,Hoja3!$C$3:$C$1124,Hoja3!$D$3:$D$1124)</f>
        <v>SANTANA</v>
      </c>
      <c r="F887" s="41">
        <v>43903</v>
      </c>
    </row>
    <row r="888" spans="1:6" x14ac:dyDescent="0.25">
      <c r="A888" s="37" t="s">
        <v>478</v>
      </c>
      <c r="B888" s="38" t="str">
        <f t="shared" si="26"/>
        <v>23</v>
      </c>
      <c r="C888" s="39" t="str">
        <f>+_xlfn.XLOOKUP(A888,Hoja3!$C$3:$C$1124,Hoja3!$B$3:$B$1124)</f>
        <v>CÓRDOBA</v>
      </c>
      <c r="D888" s="40" t="str">
        <f t="shared" si="27"/>
        <v>686</v>
      </c>
      <c r="E888" s="39" t="str">
        <f>+_xlfn.XLOOKUP(A888,Hoja3!$C$3:$C$1124,Hoja3!$D$3:$D$1124)</f>
        <v>SAN PELAYO</v>
      </c>
      <c r="F888" s="41">
        <v>43992</v>
      </c>
    </row>
    <row r="889" spans="1:6" x14ac:dyDescent="0.25">
      <c r="A889" s="38" t="s">
        <v>2050</v>
      </c>
      <c r="B889" s="38" t="str">
        <f t="shared" si="26"/>
        <v>50</v>
      </c>
      <c r="C889" s="39" t="str">
        <f>+_xlfn.XLOOKUP(A889,Hoja3!$C$3:$C$1124,Hoja3!$B$3:$B$1124)</f>
        <v>META</v>
      </c>
      <c r="D889" s="40" t="str">
        <f t="shared" si="27"/>
        <v>686</v>
      </c>
      <c r="E889" s="39" t="str">
        <f>+_xlfn.XLOOKUP(A889,Hoja3!$C$3:$C$1124,Hoja3!$D$3:$D$1124)</f>
        <v>SAN JUANITO</v>
      </c>
      <c r="F889" s="42">
        <v>45658</v>
      </c>
    </row>
    <row r="890" spans="1:6" x14ac:dyDescent="0.25">
      <c r="A890" s="38" t="s">
        <v>2109</v>
      </c>
      <c r="B890" s="38" t="str">
        <f t="shared" si="26"/>
        <v>68</v>
      </c>
      <c r="C890" s="39" t="str">
        <f>+_xlfn.XLOOKUP(A890,Hoja3!$C$3:$C$1124,Hoja3!$B$3:$B$1124)</f>
        <v>SANTANDER</v>
      </c>
      <c r="D890" s="40" t="str">
        <f t="shared" si="27"/>
        <v>686</v>
      </c>
      <c r="E890" s="39" t="str">
        <f>+_xlfn.XLOOKUP(A890,Hoja3!$C$3:$C$1124,Hoja3!$D$3:$D$1124)</f>
        <v>SAN MIGUEL</v>
      </c>
      <c r="F890" s="42">
        <v>45658</v>
      </c>
    </row>
    <row r="891" spans="1:6" x14ac:dyDescent="0.25">
      <c r="A891" s="38" t="s">
        <v>2116</v>
      </c>
      <c r="B891" s="38" t="str">
        <f t="shared" si="26"/>
        <v>73</v>
      </c>
      <c r="C891" s="39" t="str">
        <f>+_xlfn.XLOOKUP(A891,Hoja3!$C$3:$C$1124,Hoja3!$B$3:$B$1124)</f>
        <v>TOLIMA</v>
      </c>
      <c r="D891" s="40" t="str">
        <f t="shared" si="27"/>
        <v>686</v>
      </c>
      <c r="E891" s="39" t="str">
        <f>+_xlfn.XLOOKUP(A891,Hoja3!$C$3:$C$1124,Hoja3!$D$3:$D$1124)</f>
        <v>SANTA ISABEL</v>
      </c>
      <c r="F891" s="42">
        <v>45658</v>
      </c>
    </row>
    <row r="892" spans="1:6" x14ac:dyDescent="0.25">
      <c r="A892" s="37" t="s">
        <v>754</v>
      </c>
      <c r="B892" s="38" t="str">
        <f t="shared" si="26"/>
        <v>52</v>
      </c>
      <c r="C892" s="39" t="str">
        <f>+_xlfn.XLOOKUP(A892,Hoja3!$C$3:$C$1124,Hoja3!$B$3:$B$1124)</f>
        <v>NARIÑO</v>
      </c>
      <c r="D892" s="40" t="str">
        <f t="shared" si="27"/>
        <v>687</v>
      </c>
      <c r="E892" s="39" t="str">
        <f>+_xlfn.XLOOKUP(A892,Hoja3!$C$3:$C$1124,Hoja3!$D$3:$D$1124)</f>
        <v>SAN LORENZO</v>
      </c>
      <c r="F892" s="41">
        <v>43977</v>
      </c>
    </row>
    <row r="893" spans="1:6" x14ac:dyDescent="0.25">
      <c r="A893" s="37" t="s">
        <v>841</v>
      </c>
      <c r="B893" s="38" t="str">
        <f t="shared" si="26"/>
        <v>66</v>
      </c>
      <c r="C893" s="39" t="str">
        <f>+_xlfn.XLOOKUP(A893,Hoja3!$C$3:$C$1124,Hoja3!$B$3:$B$1124)</f>
        <v>RISARALDA</v>
      </c>
      <c r="D893" s="40" t="str">
        <f t="shared" si="27"/>
        <v>687</v>
      </c>
      <c r="E893" s="39" t="str">
        <f>+_xlfn.XLOOKUP(A893,Hoja3!$C$3:$C$1124,Hoja3!$D$3:$D$1124)</f>
        <v>SANTUARIO</v>
      </c>
      <c r="F893" s="41">
        <v>44000</v>
      </c>
    </row>
    <row r="894" spans="1:6" x14ac:dyDescent="0.25">
      <c r="A894" s="37" t="s">
        <v>196</v>
      </c>
      <c r="B894" s="38" t="str">
        <f t="shared" si="26"/>
        <v>13</v>
      </c>
      <c r="C894" s="39" t="str">
        <f>+_xlfn.XLOOKUP(A894,Hoja3!$C$3:$C$1124,Hoja3!$B$3:$B$1124)</f>
        <v>BOLÍVAR</v>
      </c>
      <c r="D894" s="40" t="str">
        <f t="shared" si="27"/>
        <v>688</v>
      </c>
      <c r="E894" s="39" t="str">
        <f>+_xlfn.XLOOKUP(A894,Hoja3!$C$3:$C$1124,Hoja3!$D$3:$D$1124)</f>
        <v>SANTA ROSA DEL SUR</v>
      </c>
      <c r="F894" s="41">
        <v>43973</v>
      </c>
    </row>
    <row r="895" spans="1:6" x14ac:dyDescent="0.25">
      <c r="A895" s="37" t="s">
        <v>700</v>
      </c>
      <c r="B895" s="38" t="str">
        <f t="shared" si="26"/>
        <v>50</v>
      </c>
      <c r="C895" s="39" t="str">
        <f>+_xlfn.XLOOKUP(A895,Hoja3!$C$3:$C$1124,Hoja3!$B$3:$B$1124)</f>
        <v>META</v>
      </c>
      <c r="D895" s="40" t="str">
        <f t="shared" si="27"/>
        <v>689</v>
      </c>
      <c r="E895" s="39" t="str">
        <f>+_xlfn.XLOOKUP(A895,Hoja3!$C$3:$C$1124,Hoja3!$D$3:$D$1124)</f>
        <v>SAN MARTÍN</v>
      </c>
      <c r="F895" s="41">
        <v>43998</v>
      </c>
    </row>
    <row r="896" spans="1:6" x14ac:dyDescent="0.25">
      <c r="A896" s="37" t="s">
        <v>907</v>
      </c>
      <c r="B896" s="38" t="str">
        <f t="shared" si="26"/>
        <v>68</v>
      </c>
      <c r="C896" s="39" t="str">
        <f>+_xlfn.XLOOKUP(A896,Hoja3!$C$3:$C$1124,Hoja3!$B$3:$B$1124)</f>
        <v>SANTANDER</v>
      </c>
      <c r="D896" s="40" t="str">
        <f t="shared" si="27"/>
        <v>689</v>
      </c>
      <c r="E896" s="39" t="str">
        <f>+_xlfn.XLOOKUP(A896,Hoja3!$C$3:$C$1124,Hoja3!$D$3:$D$1124)</f>
        <v>SAN VICENTE DE CHUCURÍ</v>
      </c>
      <c r="F896" s="41">
        <v>43985</v>
      </c>
    </row>
    <row r="897" spans="1:6" x14ac:dyDescent="0.25">
      <c r="A897" s="37" t="s">
        <v>106</v>
      </c>
      <c r="B897" s="38" t="str">
        <f t="shared" si="26"/>
        <v>05</v>
      </c>
      <c r="C897" s="39" t="str">
        <f>+_xlfn.XLOOKUP(A897,Hoja3!$C$3:$C$1124,Hoja3!$B$3:$B$1124)</f>
        <v>ANTIOQUIA</v>
      </c>
      <c r="D897" s="40" t="str">
        <f t="shared" si="27"/>
        <v>690</v>
      </c>
      <c r="E897" s="39" t="str">
        <f>+_xlfn.XLOOKUP(A897,Hoja3!$C$3:$C$1124,Hoja3!$D$3:$D$1124)</f>
        <v>SANTO DOMINGO</v>
      </c>
      <c r="F897" s="41">
        <v>44006</v>
      </c>
    </row>
    <row r="898" spans="1:6" x14ac:dyDescent="0.25">
      <c r="A898" s="37" t="s">
        <v>277</v>
      </c>
      <c r="B898" s="38" t="str">
        <f t="shared" ref="B898:B961" si="28">MID(A898,1,2)</f>
        <v>15</v>
      </c>
      <c r="C898" s="39" t="str">
        <f>+_xlfn.XLOOKUP(A898,Hoja3!$C$3:$C$1124,Hoja3!$B$3:$B$1124)</f>
        <v>BOYACÁ</v>
      </c>
      <c r="D898" s="40" t="str">
        <f t="shared" ref="D898:D961" si="29">MID(A898,3,3)</f>
        <v>690</v>
      </c>
      <c r="E898" s="39" t="str">
        <f>+_xlfn.XLOOKUP(A898,Hoja3!$C$3:$C$1124,Hoja3!$D$3:$D$1124)</f>
        <v>SANTA MARÍA</v>
      </c>
      <c r="F898" s="41">
        <v>44046</v>
      </c>
    </row>
    <row r="899" spans="1:6" x14ac:dyDescent="0.25">
      <c r="A899" s="37" t="s">
        <v>827</v>
      </c>
      <c r="B899" s="38" t="str">
        <f t="shared" si="28"/>
        <v>63</v>
      </c>
      <c r="C899" s="39" t="str">
        <f>+_xlfn.XLOOKUP(A899,Hoja3!$C$3:$C$1124,Hoja3!$B$3:$B$1124)</f>
        <v>QUINDÍO</v>
      </c>
      <c r="D899" s="40" t="str">
        <f t="shared" si="29"/>
        <v>690</v>
      </c>
      <c r="E899" s="39" t="str">
        <f>+_xlfn.XLOOKUP(A899,Hoja3!$C$3:$C$1124,Hoja3!$D$3:$D$1124)</f>
        <v>SALENTO</v>
      </c>
      <c r="F899" s="41">
        <v>44021</v>
      </c>
    </row>
    <row r="900" spans="1:6" x14ac:dyDescent="0.25">
      <c r="A900" s="37" t="s">
        <v>668</v>
      </c>
      <c r="B900" s="38" t="str">
        <f t="shared" si="28"/>
        <v>47</v>
      </c>
      <c r="C900" s="39" t="str">
        <f>+_xlfn.XLOOKUP(A900,Hoja3!$C$3:$C$1124,Hoja3!$B$3:$B$1124)</f>
        <v>MAGDALENA</v>
      </c>
      <c r="D900" s="40" t="str">
        <f t="shared" si="29"/>
        <v>692</v>
      </c>
      <c r="E900" s="39" t="str">
        <f>+_xlfn.XLOOKUP(A900,Hoja3!$C$3:$C$1124,Hoja3!$D$3:$D$1124)</f>
        <v>SAN SEBASTIÁN DE BUENAVISTA</v>
      </c>
      <c r="F900" s="41">
        <v>43954</v>
      </c>
    </row>
    <row r="901" spans="1:6" x14ac:dyDescent="0.25">
      <c r="A901" s="37" t="s">
        <v>278</v>
      </c>
      <c r="B901" s="38" t="str">
        <f t="shared" si="28"/>
        <v>15</v>
      </c>
      <c r="C901" s="39" t="str">
        <f>+_xlfn.XLOOKUP(A901,Hoja3!$C$3:$C$1124,Hoja3!$B$3:$B$1124)</f>
        <v>BOYACÁ</v>
      </c>
      <c r="D901" s="40" t="str">
        <f t="shared" si="29"/>
        <v>693</v>
      </c>
      <c r="E901" s="39" t="str">
        <f>+_xlfn.XLOOKUP(A901,Hoja3!$C$3:$C$1124,Hoja3!$D$3:$D$1124)</f>
        <v>SANTA ROSA DE VITERBO</v>
      </c>
      <c r="F901" s="41">
        <v>43955</v>
      </c>
    </row>
    <row r="902" spans="1:6" x14ac:dyDescent="0.25">
      <c r="A902" s="37" t="s">
        <v>2020</v>
      </c>
      <c r="B902" s="38" t="str">
        <f t="shared" si="28"/>
        <v>52</v>
      </c>
      <c r="C902" s="39" t="str">
        <f>+_xlfn.XLOOKUP(A902,Hoja3!$C$3:$C$1124,Hoja3!$B$3:$B$1124)</f>
        <v>NARIÑO</v>
      </c>
      <c r="D902" s="40" t="str">
        <f t="shared" si="29"/>
        <v>693</v>
      </c>
      <c r="E902" s="39" t="str">
        <f>+_xlfn.XLOOKUP(A902,Hoja3!$C$3:$C$1124,Hoja3!$D$3:$D$1124)</f>
        <v>SAN PABLO</v>
      </c>
      <c r="F902" s="41">
        <v>43961</v>
      </c>
    </row>
    <row r="903" spans="1:6" x14ac:dyDescent="0.25">
      <c r="A903" s="38" t="s">
        <v>2115</v>
      </c>
      <c r="B903" s="38" t="str">
        <f t="shared" si="28"/>
        <v>19</v>
      </c>
      <c r="C903" s="39" t="str">
        <f>+_xlfn.XLOOKUP(A903,Hoja3!$C$3:$C$1124,Hoja3!$B$3:$B$1124)</f>
        <v>CAUCA</v>
      </c>
      <c r="D903" s="40" t="str">
        <f t="shared" si="29"/>
        <v>693</v>
      </c>
      <c r="E903" s="39" t="str">
        <f>+_xlfn.XLOOKUP(A903,Hoja3!$C$3:$C$1124,Hoja3!$D$3:$D$1124)</f>
        <v>SAN SEBASTIÁN</v>
      </c>
      <c r="F903" s="42">
        <v>45658</v>
      </c>
    </row>
    <row r="904" spans="1:6" x14ac:dyDescent="0.25">
      <c r="A904" s="37" t="s">
        <v>755</v>
      </c>
      <c r="B904" s="38" t="str">
        <f t="shared" si="28"/>
        <v>52</v>
      </c>
      <c r="C904" s="39" t="str">
        <f>+_xlfn.XLOOKUP(A904,Hoja3!$C$3:$C$1124,Hoja3!$B$3:$B$1124)</f>
        <v>NARIÑO</v>
      </c>
      <c r="D904" s="40" t="str">
        <f t="shared" si="29"/>
        <v>694</v>
      </c>
      <c r="E904" s="39" t="str">
        <f>+_xlfn.XLOOKUP(A904,Hoja3!$C$3:$C$1124,Hoja3!$D$3:$D$1124)</f>
        <v>SAN PEDRO DE CARTAGO</v>
      </c>
      <c r="F904" s="41">
        <v>44015</v>
      </c>
    </row>
    <row r="905" spans="1:6" x14ac:dyDescent="0.25">
      <c r="A905" s="37" t="s">
        <v>279</v>
      </c>
      <c r="B905" s="38" t="str">
        <f t="shared" si="28"/>
        <v>15</v>
      </c>
      <c r="C905" s="39" t="str">
        <f>+_xlfn.XLOOKUP(A905,Hoja3!$C$3:$C$1124,Hoja3!$B$3:$B$1124)</f>
        <v>BOYACÁ</v>
      </c>
      <c r="D905" s="40" t="str">
        <f t="shared" si="29"/>
        <v>696</v>
      </c>
      <c r="E905" s="39" t="str">
        <f>+_xlfn.XLOOKUP(A905,Hoja3!$C$3:$C$1124,Hoja3!$D$3:$D$1124)</f>
        <v>SANTA SOFÍA</v>
      </c>
      <c r="F905" s="41">
        <v>43918</v>
      </c>
    </row>
    <row r="906" spans="1:6" x14ac:dyDescent="0.25">
      <c r="A906" s="37" t="s">
        <v>756</v>
      </c>
      <c r="B906" s="38" t="str">
        <f t="shared" si="28"/>
        <v>52</v>
      </c>
      <c r="C906" s="39" t="str">
        <f>+_xlfn.XLOOKUP(A906,Hoja3!$C$3:$C$1124,Hoja3!$B$3:$B$1124)</f>
        <v>NARIÑO</v>
      </c>
      <c r="D906" s="40" t="str">
        <f t="shared" si="29"/>
        <v>696</v>
      </c>
      <c r="E906" s="39" t="str">
        <f>+_xlfn.XLOOKUP(A906,Hoja3!$C$3:$C$1124,Hoja3!$D$3:$D$1124)</f>
        <v>SANTA BÁRBARA</v>
      </c>
      <c r="F906" s="41">
        <v>43956</v>
      </c>
    </row>
    <row r="907" spans="1:6" x14ac:dyDescent="0.25">
      <c r="A907" s="37" t="s">
        <v>107</v>
      </c>
      <c r="B907" s="38" t="str">
        <f t="shared" si="28"/>
        <v>05</v>
      </c>
      <c r="C907" s="39" t="str">
        <f>+_xlfn.XLOOKUP(A907,Hoja3!$C$3:$C$1124,Hoja3!$B$3:$B$1124)</f>
        <v>ANTIOQUIA</v>
      </c>
      <c r="D907" s="40" t="str">
        <f t="shared" si="29"/>
        <v>697</v>
      </c>
      <c r="E907" s="39" t="str">
        <f>+_xlfn.XLOOKUP(A907,Hoja3!$C$3:$C$1124,Hoja3!$D$3:$D$1124)</f>
        <v>EL SANTUARIO</v>
      </c>
      <c r="F907" s="41">
        <v>43915</v>
      </c>
    </row>
    <row r="908" spans="1:6" x14ac:dyDescent="0.25">
      <c r="A908" s="37" t="s">
        <v>390</v>
      </c>
      <c r="B908" s="38" t="str">
        <f t="shared" si="28"/>
        <v>19</v>
      </c>
      <c r="C908" s="39" t="str">
        <f>+_xlfn.XLOOKUP(A908,Hoja3!$C$3:$C$1124,Hoja3!$B$3:$B$1124)</f>
        <v>CAUCA</v>
      </c>
      <c r="D908" s="40" t="str">
        <f t="shared" si="29"/>
        <v>698</v>
      </c>
      <c r="E908" s="39" t="str">
        <f>+_xlfn.XLOOKUP(A908,Hoja3!$C$3:$C$1124,Hoja3!$D$3:$D$1124)</f>
        <v>SANTANDER DE QUILICHAO</v>
      </c>
      <c r="F908" s="41">
        <v>43911</v>
      </c>
    </row>
    <row r="909" spans="1:6" x14ac:dyDescent="0.25">
      <c r="A909" s="37" t="s">
        <v>757</v>
      </c>
      <c r="B909" s="38" t="str">
        <f t="shared" si="28"/>
        <v>52</v>
      </c>
      <c r="C909" s="39" t="str">
        <f>+_xlfn.XLOOKUP(A909,Hoja3!$C$3:$C$1124,Hoja3!$B$3:$B$1124)</f>
        <v>NARIÑO</v>
      </c>
      <c r="D909" s="40" t="str">
        <f t="shared" si="29"/>
        <v>699</v>
      </c>
      <c r="E909" s="39" t="str">
        <f>+_xlfn.XLOOKUP(A909,Hoja3!$C$3:$C$1124,Hoja3!$D$3:$D$1124)</f>
        <v>SANTACRUZ</v>
      </c>
      <c r="F909" s="41">
        <v>44026</v>
      </c>
    </row>
    <row r="910" spans="1:6" x14ac:dyDescent="0.25">
      <c r="A910" s="37" t="s">
        <v>391</v>
      </c>
      <c r="B910" s="38" t="str">
        <f t="shared" si="28"/>
        <v>19</v>
      </c>
      <c r="C910" s="39" t="str">
        <f>+_xlfn.XLOOKUP(A910,Hoja3!$C$3:$C$1124,Hoja3!$B$3:$B$1124)</f>
        <v>CAUCA</v>
      </c>
      <c r="D910" s="40" t="str">
        <f t="shared" si="29"/>
        <v>701</v>
      </c>
      <c r="E910" s="39" t="str">
        <f>+_xlfn.XLOOKUP(A910,Hoja3!$C$3:$C$1124,Hoja3!$D$3:$D$1124)</f>
        <v>SANTA ROSA</v>
      </c>
      <c r="F910" s="41">
        <v>44034</v>
      </c>
    </row>
    <row r="911" spans="1:6" x14ac:dyDescent="0.25">
      <c r="A911" s="37" t="s">
        <v>937</v>
      </c>
      <c r="B911" s="38" t="str">
        <f t="shared" si="28"/>
        <v>70</v>
      </c>
      <c r="C911" s="39" t="str">
        <f>+_xlfn.XLOOKUP(A911,Hoja3!$C$3:$C$1124,Hoja3!$B$3:$B$1124)</f>
        <v>SUCRE</v>
      </c>
      <c r="D911" s="40" t="str">
        <f t="shared" si="29"/>
        <v>702</v>
      </c>
      <c r="E911" s="39" t="str">
        <f>+_xlfn.XLOOKUP(A911,Hoja3!$C$3:$C$1124,Hoja3!$D$3:$D$1124)</f>
        <v>SAN JUAN DE BETULIA</v>
      </c>
      <c r="F911" s="41">
        <v>43979</v>
      </c>
    </row>
    <row r="912" spans="1:6" x14ac:dyDescent="0.25">
      <c r="A912" s="37" t="s">
        <v>669</v>
      </c>
      <c r="B912" s="38" t="str">
        <f t="shared" si="28"/>
        <v>47</v>
      </c>
      <c r="C912" s="39" t="str">
        <f>+_xlfn.XLOOKUP(A912,Hoja3!$C$3:$C$1124,Hoja3!$B$3:$B$1124)</f>
        <v>MAGDALENA</v>
      </c>
      <c r="D912" s="40" t="str">
        <f t="shared" si="29"/>
        <v>703</v>
      </c>
      <c r="E912" s="39" t="str">
        <f>+_xlfn.XLOOKUP(A912,Hoja3!$C$3:$C$1124,Hoja3!$D$3:$D$1124)</f>
        <v>SAN ZENÓN</v>
      </c>
      <c r="F912" s="41">
        <v>44015</v>
      </c>
    </row>
    <row r="913" spans="1:6" x14ac:dyDescent="0.25">
      <c r="A913" s="37" t="s">
        <v>908</v>
      </c>
      <c r="B913" s="38" t="str">
        <f t="shared" si="28"/>
        <v>68</v>
      </c>
      <c r="C913" s="39" t="str">
        <f>+_xlfn.XLOOKUP(A913,Hoja3!$C$3:$C$1124,Hoja3!$B$3:$B$1124)</f>
        <v>SANTANDER</v>
      </c>
      <c r="D913" s="40" t="str">
        <f t="shared" si="29"/>
        <v>705</v>
      </c>
      <c r="E913" s="39" t="str">
        <f>+_xlfn.XLOOKUP(A913,Hoja3!$C$3:$C$1124,Hoja3!$D$3:$D$1124)</f>
        <v>SANTA BÁRBARA</v>
      </c>
      <c r="F913" s="41">
        <v>44049</v>
      </c>
    </row>
    <row r="914" spans="1:6" x14ac:dyDescent="0.25">
      <c r="A914" s="37" t="s">
        <v>670</v>
      </c>
      <c r="B914" s="38" t="str">
        <f t="shared" si="28"/>
        <v>47</v>
      </c>
      <c r="C914" s="39" t="str">
        <f>+_xlfn.XLOOKUP(A914,Hoja3!$C$3:$C$1124,Hoja3!$B$3:$B$1124)</f>
        <v>MAGDALENA</v>
      </c>
      <c r="D914" s="40" t="str">
        <f t="shared" si="29"/>
        <v>707</v>
      </c>
      <c r="E914" s="39" t="str">
        <f>+_xlfn.XLOOKUP(A914,Hoja3!$C$3:$C$1124,Hoja3!$D$3:$D$1124)</f>
        <v>SANTA ANA</v>
      </c>
      <c r="F914" s="41">
        <v>43990</v>
      </c>
    </row>
    <row r="915" spans="1:6" x14ac:dyDescent="0.25">
      <c r="A915" s="37" t="s">
        <v>938</v>
      </c>
      <c r="B915" s="38" t="str">
        <f t="shared" si="28"/>
        <v>70</v>
      </c>
      <c r="C915" s="39" t="str">
        <f>+_xlfn.XLOOKUP(A915,Hoja3!$C$3:$C$1124,Hoja3!$B$3:$B$1124)</f>
        <v>SUCRE</v>
      </c>
      <c r="D915" s="40" t="str">
        <f t="shared" si="29"/>
        <v>708</v>
      </c>
      <c r="E915" s="39" t="str">
        <f>+_xlfn.XLOOKUP(A915,Hoja3!$C$3:$C$1124,Hoja3!$D$3:$D$1124)</f>
        <v>SAN MARCOS</v>
      </c>
      <c r="F915" s="41">
        <v>43976</v>
      </c>
    </row>
    <row r="916" spans="1:6" x14ac:dyDescent="0.25">
      <c r="A916" s="37" t="s">
        <v>422</v>
      </c>
      <c r="B916" s="38" t="str">
        <f t="shared" si="28"/>
        <v>20</v>
      </c>
      <c r="C916" s="39" t="str">
        <f>+_xlfn.XLOOKUP(A916,Hoja3!$C$3:$C$1124,Hoja3!$B$3:$B$1124)</f>
        <v>CESAR</v>
      </c>
      <c r="D916" s="40" t="str">
        <f t="shared" si="29"/>
        <v>710</v>
      </c>
      <c r="E916" s="39" t="str">
        <f>+_xlfn.XLOOKUP(A916,Hoja3!$C$3:$C$1124,Hoja3!$D$3:$D$1124)</f>
        <v>SAN ALBERTO</v>
      </c>
      <c r="F916" s="41">
        <v>43987</v>
      </c>
    </row>
    <row r="917" spans="1:6" x14ac:dyDescent="0.25">
      <c r="A917" s="37" t="s">
        <v>701</v>
      </c>
      <c r="B917" s="38" t="str">
        <f t="shared" si="28"/>
        <v>50</v>
      </c>
      <c r="C917" s="39" t="str">
        <f>+_xlfn.XLOOKUP(A917,Hoja3!$C$3:$C$1124,Hoja3!$B$3:$B$1124)</f>
        <v>META</v>
      </c>
      <c r="D917" s="40" t="str">
        <f t="shared" si="29"/>
        <v>711</v>
      </c>
      <c r="E917" s="39" t="str">
        <f>+_xlfn.XLOOKUP(A917,Hoja3!$C$3:$C$1124,Hoja3!$D$3:$D$1124)</f>
        <v>VISTAHERMOSA</v>
      </c>
      <c r="F917" s="41">
        <v>44055</v>
      </c>
    </row>
    <row r="918" spans="1:6" x14ac:dyDescent="0.25">
      <c r="A918" s="37" t="s">
        <v>939</v>
      </c>
      <c r="B918" s="38" t="str">
        <f t="shared" si="28"/>
        <v>70</v>
      </c>
      <c r="C918" s="39" t="str">
        <f>+_xlfn.XLOOKUP(A918,Hoja3!$C$3:$C$1124,Hoja3!$B$3:$B$1124)</f>
        <v>SUCRE</v>
      </c>
      <c r="D918" s="40" t="str">
        <f t="shared" si="29"/>
        <v>713</v>
      </c>
      <c r="E918" s="39" t="str">
        <f>+_xlfn.XLOOKUP(A918,Hoja3!$C$3:$C$1124,Hoja3!$D$3:$D$1124)</f>
        <v>SAN ONOFRE</v>
      </c>
      <c r="F918" s="41">
        <v>43967</v>
      </c>
    </row>
    <row r="919" spans="1:6" x14ac:dyDescent="0.25">
      <c r="A919" s="37" t="s">
        <v>940</v>
      </c>
      <c r="B919" s="38" t="str">
        <f t="shared" si="28"/>
        <v>70</v>
      </c>
      <c r="C919" s="39" t="str">
        <f>+_xlfn.XLOOKUP(A919,Hoja3!$C$3:$C$1124,Hoja3!$B$3:$B$1124)</f>
        <v>SUCRE</v>
      </c>
      <c r="D919" s="40" t="str">
        <f t="shared" si="29"/>
        <v>717</v>
      </c>
      <c r="E919" s="39" t="str">
        <f>+_xlfn.XLOOKUP(A919,Hoja3!$C$3:$C$1124,Hoja3!$D$3:$D$1124)</f>
        <v>SAN PEDRO</v>
      </c>
      <c r="F919" s="41">
        <v>43980</v>
      </c>
    </row>
    <row r="920" spans="1:6" x14ac:dyDescent="0.25">
      <c r="A920" s="37" t="s">
        <v>556</v>
      </c>
      <c r="B920" s="38" t="str">
        <f t="shared" si="28"/>
        <v>25</v>
      </c>
      <c r="C920" s="39" t="str">
        <f>+_xlfn.XLOOKUP(A920,Hoja3!$C$3:$C$1124,Hoja3!$B$3:$B$1124)</f>
        <v>CUNDINAMARCA</v>
      </c>
      <c r="D920" s="40" t="str">
        <f t="shared" si="29"/>
        <v>718</v>
      </c>
      <c r="E920" s="39" t="str">
        <f>+_xlfn.XLOOKUP(A920,Hoja3!$C$3:$C$1124,Hoja3!$D$3:$D$1124)</f>
        <v>SASAIMA</v>
      </c>
      <c r="F920" s="41">
        <v>43979</v>
      </c>
    </row>
    <row r="921" spans="1:6" x14ac:dyDescent="0.25">
      <c r="A921" s="37" t="s">
        <v>280</v>
      </c>
      <c r="B921" s="38" t="str">
        <f t="shared" si="28"/>
        <v>15</v>
      </c>
      <c r="C921" s="39" t="str">
        <f>+_xlfn.XLOOKUP(A921,Hoja3!$C$3:$C$1124,Hoja3!$B$3:$B$1124)</f>
        <v>BOYACÁ</v>
      </c>
      <c r="D921" s="40" t="str">
        <f t="shared" si="29"/>
        <v>720</v>
      </c>
      <c r="E921" s="39" t="str">
        <f>+_xlfn.XLOOKUP(A921,Hoja3!$C$3:$C$1124,Hoja3!$D$3:$D$1124)</f>
        <v>SATIVANORTE</v>
      </c>
      <c r="F921" s="41">
        <v>44045</v>
      </c>
    </row>
    <row r="922" spans="1:6" x14ac:dyDescent="0.25">
      <c r="A922" s="37" t="s">
        <v>671</v>
      </c>
      <c r="B922" s="38" t="str">
        <f t="shared" si="28"/>
        <v>47</v>
      </c>
      <c r="C922" s="39" t="str">
        <f>+_xlfn.XLOOKUP(A922,Hoja3!$C$3:$C$1124,Hoja3!$B$3:$B$1124)</f>
        <v>MAGDALENA</v>
      </c>
      <c r="D922" s="40" t="str">
        <f t="shared" si="29"/>
        <v>720</v>
      </c>
      <c r="E922" s="39" t="str">
        <f>+_xlfn.XLOOKUP(A922,Hoja3!$C$3:$C$1124,Hoja3!$D$3:$D$1124)</f>
        <v>SANTA BÁRBARA DE PINTO</v>
      </c>
      <c r="F922" s="41">
        <v>44008</v>
      </c>
    </row>
    <row r="923" spans="1:6" x14ac:dyDescent="0.25">
      <c r="A923" s="37" t="s">
        <v>758</v>
      </c>
      <c r="B923" s="38" t="str">
        <f t="shared" si="28"/>
        <v>52</v>
      </c>
      <c r="C923" s="39" t="str">
        <f>+_xlfn.XLOOKUP(A923,Hoja3!$C$3:$C$1124,Hoja3!$B$3:$B$1124)</f>
        <v>NARIÑO</v>
      </c>
      <c r="D923" s="40" t="str">
        <f t="shared" si="29"/>
        <v>720</v>
      </c>
      <c r="E923" s="39" t="str">
        <f>+_xlfn.XLOOKUP(A923,Hoja3!$C$3:$C$1124,Hoja3!$D$3:$D$1124)</f>
        <v>SAPUYES</v>
      </c>
      <c r="F923" s="41">
        <v>44039</v>
      </c>
    </row>
    <row r="924" spans="1:6" x14ac:dyDescent="0.25">
      <c r="A924" s="37" t="s">
        <v>797</v>
      </c>
      <c r="B924" s="38" t="str">
        <f t="shared" si="28"/>
        <v>54</v>
      </c>
      <c r="C924" s="39" t="str">
        <f>+_xlfn.XLOOKUP(A924,Hoja3!$C$3:$C$1124,Hoja3!$B$3:$B$1124)</f>
        <v>NORTE DE SANTANDER</v>
      </c>
      <c r="D924" s="40" t="str">
        <f t="shared" si="29"/>
        <v>720</v>
      </c>
      <c r="E924" s="39" t="str">
        <f>+_xlfn.XLOOKUP(A924,Hoja3!$C$3:$C$1124,Hoja3!$D$3:$D$1124)</f>
        <v>SARDINATA</v>
      </c>
      <c r="F924" s="41">
        <v>43993</v>
      </c>
    </row>
    <row r="925" spans="1:6" x14ac:dyDescent="0.25">
      <c r="A925" s="37" t="s">
        <v>909</v>
      </c>
      <c r="B925" s="38" t="str">
        <f t="shared" si="28"/>
        <v>68</v>
      </c>
      <c r="C925" s="39" t="str">
        <f>+_xlfn.XLOOKUP(A925,Hoja3!$C$3:$C$1124,Hoja3!$B$3:$B$1124)</f>
        <v>SANTANDER</v>
      </c>
      <c r="D925" s="40" t="str">
        <f t="shared" si="29"/>
        <v>720</v>
      </c>
      <c r="E925" s="39" t="str">
        <f>+_xlfn.XLOOKUP(A925,Hoja3!$C$3:$C$1124,Hoja3!$D$3:$D$1124)</f>
        <v>SANTA HELENA DEL OPÓN</v>
      </c>
      <c r="F925" s="41">
        <v>44015</v>
      </c>
    </row>
    <row r="926" spans="1:6" x14ac:dyDescent="0.25">
      <c r="A926" s="37" t="s">
        <v>281</v>
      </c>
      <c r="B926" s="38" t="str">
        <f t="shared" si="28"/>
        <v>15</v>
      </c>
      <c r="C926" s="39" t="str">
        <f>+_xlfn.XLOOKUP(A926,Hoja3!$C$3:$C$1124,Hoja3!$B$3:$B$1124)</f>
        <v>BOYACÁ</v>
      </c>
      <c r="D926" s="40" t="str">
        <f t="shared" si="29"/>
        <v>723</v>
      </c>
      <c r="E926" s="39" t="str">
        <f>+_xlfn.XLOOKUP(A926,Hoja3!$C$3:$C$1124,Hoja3!$D$3:$D$1124)</f>
        <v>SATIVASUR</v>
      </c>
      <c r="F926" s="41">
        <v>44044</v>
      </c>
    </row>
    <row r="927" spans="1:6" x14ac:dyDescent="0.25">
      <c r="A927" s="37" t="s">
        <v>108</v>
      </c>
      <c r="B927" s="38" t="str">
        <f t="shared" si="28"/>
        <v>05</v>
      </c>
      <c r="C927" s="39" t="str">
        <f>+_xlfn.XLOOKUP(A927,Hoja3!$C$3:$C$1124,Hoja3!$B$3:$B$1124)</f>
        <v>ANTIOQUIA</v>
      </c>
      <c r="D927" s="40" t="str">
        <f t="shared" si="29"/>
        <v>736</v>
      </c>
      <c r="E927" s="39" t="str">
        <f>+_xlfn.XLOOKUP(A927,Hoja3!$C$3:$C$1124,Hoja3!$D$3:$D$1124)</f>
        <v>SEGOVIA</v>
      </c>
      <c r="F927" s="41">
        <v>44002</v>
      </c>
    </row>
    <row r="928" spans="1:6" x14ac:dyDescent="0.25">
      <c r="A928" s="37" t="s">
        <v>132</v>
      </c>
      <c r="B928" s="38" t="str">
        <f t="shared" si="28"/>
        <v>81</v>
      </c>
      <c r="C928" s="39" t="str">
        <f>+_xlfn.XLOOKUP(A928,Hoja3!$C$3:$C$1124,Hoja3!$B$3:$B$1124)</f>
        <v>ARAUCA</v>
      </c>
      <c r="D928" s="40" t="str">
        <f t="shared" si="29"/>
        <v>736</v>
      </c>
      <c r="E928" s="39" t="str">
        <f>+_xlfn.XLOOKUP(A928,Hoja3!$C$3:$C$1124,Hoja3!$D$3:$D$1124)</f>
        <v>SARAVENA</v>
      </c>
      <c r="F928" s="41">
        <v>43968</v>
      </c>
    </row>
    <row r="929" spans="1:6" x14ac:dyDescent="0.25">
      <c r="A929" s="37" t="s">
        <v>557</v>
      </c>
      <c r="B929" s="38" t="str">
        <f t="shared" si="28"/>
        <v>25</v>
      </c>
      <c r="C929" s="39" t="str">
        <f>+_xlfn.XLOOKUP(A929,Hoja3!$C$3:$C$1124,Hoja3!$B$3:$B$1124)</f>
        <v>CUNDINAMARCA</v>
      </c>
      <c r="D929" s="40" t="str">
        <f t="shared" si="29"/>
        <v>736</v>
      </c>
      <c r="E929" s="39" t="str">
        <f>+_xlfn.XLOOKUP(A929,Hoja3!$C$3:$C$1124,Hoja3!$D$3:$D$1124)</f>
        <v>SESQUILÉ</v>
      </c>
      <c r="F929" s="41">
        <v>43969</v>
      </c>
    </row>
    <row r="930" spans="1:6" x14ac:dyDescent="0.25">
      <c r="A930" s="37" t="s">
        <v>1019</v>
      </c>
      <c r="B930" s="38" t="str">
        <f t="shared" si="28"/>
        <v>76</v>
      </c>
      <c r="C930" s="39" t="str">
        <f>+_xlfn.XLOOKUP(A930,Hoja3!$C$3:$C$1124,Hoja3!$B$3:$B$1124)</f>
        <v>VALLE DEL CAUCA</v>
      </c>
      <c r="D930" s="40" t="str">
        <f t="shared" si="29"/>
        <v>736</v>
      </c>
      <c r="E930" s="39" t="str">
        <f>+_xlfn.XLOOKUP(A930,Hoja3!$C$3:$C$1124,Hoja3!$D$3:$D$1124)</f>
        <v>SEVILLA</v>
      </c>
      <c r="F930" s="41">
        <v>43980</v>
      </c>
    </row>
    <row r="931" spans="1:6" x14ac:dyDescent="0.25">
      <c r="A931" s="37" t="s">
        <v>2013</v>
      </c>
      <c r="B931" s="38" t="str">
        <f t="shared" si="28"/>
        <v>15</v>
      </c>
      <c r="C931" s="39" t="str">
        <f>+_xlfn.XLOOKUP(A931,Hoja3!$C$3:$C$1124,Hoja3!$B$3:$B$1124)</f>
        <v>BOYACÁ</v>
      </c>
      <c r="D931" s="40" t="str">
        <f t="shared" si="29"/>
        <v>740</v>
      </c>
      <c r="E931" s="39" t="str">
        <f>+_xlfn.XLOOKUP(A931,Hoja3!$C$3:$C$1124,Hoja3!$D$3:$D$1124)</f>
        <v>SIACHOQUE</v>
      </c>
      <c r="F931" s="41">
        <v>44007</v>
      </c>
    </row>
    <row r="932" spans="1:6" x14ac:dyDescent="0.25">
      <c r="A932" s="37" t="s">
        <v>558</v>
      </c>
      <c r="B932" s="38" t="str">
        <f t="shared" si="28"/>
        <v>25</v>
      </c>
      <c r="C932" s="39" t="str">
        <f>+_xlfn.XLOOKUP(A932,Hoja3!$C$3:$C$1124,Hoja3!$B$3:$B$1124)</f>
        <v>CUNDINAMARCA</v>
      </c>
      <c r="D932" s="40" t="str">
        <f t="shared" si="29"/>
        <v>740</v>
      </c>
      <c r="E932" s="39" t="str">
        <f>+_xlfn.XLOOKUP(A932,Hoja3!$C$3:$C$1124,Hoja3!$D$3:$D$1124)</f>
        <v>SIBATÉ</v>
      </c>
      <c r="F932" s="41">
        <v>43939</v>
      </c>
    </row>
    <row r="933" spans="1:6" x14ac:dyDescent="0.25">
      <c r="A933" s="37" t="s">
        <v>941</v>
      </c>
      <c r="B933" s="38" t="str">
        <f t="shared" si="28"/>
        <v>70</v>
      </c>
      <c r="C933" s="39" t="str">
        <f>+_xlfn.XLOOKUP(A933,Hoja3!$C$3:$C$1124,Hoja3!$B$3:$B$1124)</f>
        <v>SUCRE</v>
      </c>
      <c r="D933" s="40" t="str">
        <f t="shared" si="29"/>
        <v>742</v>
      </c>
      <c r="E933" s="39" t="str">
        <f>+_xlfn.XLOOKUP(A933,Hoja3!$C$3:$C$1124,Hoja3!$D$3:$D$1124)</f>
        <v>SAN LUIS DE SINCÉ</v>
      </c>
      <c r="F933" s="41">
        <v>43959</v>
      </c>
    </row>
    <row r="934" spans="1:6" x14ac:dyDescent="0.25">
      <c r="A934" s="37" t="s">
        <v>392</v>
      </c>
      <c r="B934" s="38" t="str">
        <f t="shared" si="28"/>
        <v>19</v>
      </c>
      <c r="C934" s="39" t="str">
        <f>+_xlfn.XLOOKUP(A934,Hoja3!$C$3:$C$1124,Hoja3!$B$3:$B$1124)</f>
        <v>CAUCA</v>
      </c>
      <c r="D934" s="40" t="str">
        <f t="shared" si="29"/>
        <v>743</v>
      </c>
      <c r="E934" s="39" t="str">
        <f>+_xlfn.XLOOKUP(A934,Hoja3!$C$3:$C$1124,Hoja3!$D$3:$D$1124)</f>
        <v>SILVIA</v>
      </c>
      <c r="F934" s="41">
        <v>43978</v>
      </c>
    </row>
    <row r="935" spans="1:6" x14ac:dyDescent="0.25">
      <c r="A935" s="37" t="s">
        <v>559</v>
      </c>
      <c r="B935" s="38" t="str">
        <f t="shared" si="28"/>
        <v>25</v>
      </c>
      <c r="C935" s="39" t="str">
        <f>+_xlfn.XLOOKUP(A935,Hoja3!$C$3:$C$1124,Hoja3!$B$3:$B$1124)</f>
        <v>CUNDINAMARCA</v>
      </c>
      <c r="D935" s="40" t="str">
        <f t="shared" si="29"/>
        <v>743</v>
      </c>
      <c r="E935" s="39" t="str">
        <f>+_xlfn.XLOOKUP(A935,Hoja3!$C$3:$C$1124,Hoja3!$D$3:$D$1124)</f>
        <v>SILVANIA</v>
      </c>
      <c r="F935" s="41">
        <v>43949</v>
      </c>
    </row>
    <row r="936" spans="1:6" x14ac:dyDescent="0.25">
      <c r="A936" s="37" t="s">
        <v>798</v>
      </c>
      <c r="B936" s="38" t="str">
        <f t="shared" si="28"/>
        <v>54</v>
      </c>
      <c r="C936" s="39" t="str">
        <f>+_xlfn.XLOOKUP(A936,Hoja3!$C$3:$C$1124,Hoja3!$B$3:$B$1124)</f>
        <v>NORTE DE SANTANDER</v>
      </c>
      <c r="D936" s="40" t="str">
        <f t="shared" si="29"/>
        <v>743</v>
      </c>
      <c r="E936" s="39" t="str">
        <f>+_xlfn.XLOOKUP(A936,Hoja3!$C$3:$C$1124,Hoja3!$D$3:$D$1124)</f>
        <v>SILOS</v>
      </c>
      <c r="F936" s="41">
        <v>43990</v>
      </c>
    </row>
    <row r="937" spans="1:6" x14ac:dyDescent="0.25">
      <c r="A937" s="37" t="s">
        <v>197</v>
      </c>
      <c r="B937" s="38" t="str">
        <f t="shared" si="28"/>
        <v>13</v>
      </c>
      <c r="C937" s="39" t="str">
        <f>+_xlfn.XLOOKUP(A937,Hoja3!$C$3:$C$1124,Hoja3!$B$3:$B$1124)</f>
        <v>BOLÍVAR</v>
      </c>
      <c r="D937" s="40" t="str">
        <f t="shared" si="29"/>
        <v>744</v>
      </c>
      <c r="E937" s="39" t="str">
        <f>+_xlfn.XLOOKUP(A937,Hoja3!$C$3:$C$1124,Hoja3!$D$3:$D$1124)</f>
        <v>SIMITÍ</v>
      </c>
      <c r="F937" s="41">
        <v>44053</v>
      </c>
    </row>
    <row r="938" spans="1:6" x14ac:dyDescent="0.25">
      <c r="A938" s="37" t="s">
        <v>560</v>
      </c>
      <c r="B938" s="38" t="str">
        <f t="shared" si="28"/>
        <v>25</v>
      </c>
      <c r="C938" s="39" t="str">
        <f>+_xlfn.XLOOKUP(A938,Hoja3!$C$3:$C$1124,Hoja3!$B$3:$B$1124)</f>
        <v>CUNDINAMARCA</v>
      </c>
      <c r="D938" s="40" t="str">
        <f t="shared" si="29"/>
        <v>745</v>
      </c>
      <c r="E938" s="39" t="str">
        <f>+_xlfn.XLOOKUP(A938,Hoja3!$C$3:$C$1124,Hoja3!$D$3:$D$1124)</f>
        <v>SIMIJACA</v>
      </c>
      <c r="F938" s="41">
        <v>43987</v>
      </c>
    </row>
    <row r="939" spans="1:6" x14ac:dyDescent="0.25">
      <c r="A939" s="37" t="s">
        <v>672</v>
      </c>
      <c r="B939" s="38" t="str">
        <f t="shared" si="28"/>
        <v>47</v>
      </c>
      <c r="C939" s="39" t="str">
        <f>+_xlfn.XLOOKUP(A939,Hoja3!$C$3:$C$1124,Hoja3!$B$3:$B$1124)</f>
        <v>MAGDALENA</v>
      </c>
      <c r="D939" s="40" t="str">
        <f t="shared" si="29"/>
        <v>745</v>
      </c>
      <c r="E939" s="39" t="str">
        <f>+_xlfn.XLOOKUP(A939,Hoja3!$C$3:$C$1124,Hoja3!$D$3:$D$1124)</f>
        <v>SITIONUEVO</v>
      </c>
      <c r="F939" s="41">
        <v>43954</v>
      </c>
    </row>
    <row r="940" spans="1:6" x14ac:dyDescent="0.25">
      <c r="A940" s="38" t="s">
        <v>2041</v>
      </c>
      <c r="B940" s="38" t="str">
        <f t="shared" si="28"/>
        <v>27</v>
      </c>
      <c r="C940" s="39" t="str">
        <f>+_xlfn.XLOOKUP(A940,Hoja3!$C$3:$C$1124,Hoja3!$B$3:$B$1124)</f>
        <v>CHOCÓ</v>
      </c>
      <c r="D940" s="40" t="str">
        <f t="shared" si="29"/>
        <v>745</v>
      </c>
      <c r="E940" s="39" t="str">
        <f>+_xlfn.XLOOKUP(A940,Hoja3!$C$3:$C$1124,Hoja3!$D$3:$D$1124)</f>
        <v>SIPÍ</v>
      </c>
      <c r="F940" s="42">
        <v>45658</v>
      </c>
    </row>
    <row r="941" spans="1:6" x14ac:dyDescent="0.25">
      <c r="A941" s="38" t="s">
        <v>2102</v>
      </c>
      <c r="B941" s="38" t="str">
        <f t="shared" si="28"/>
        <v>68</v>
      </c>
      <c r="C941" s="39" t="str">
        <f>+_xlfn.XLOOKUP(A941,Hoja3!$C$3:$C$1124,Hoja3!$B$3:$B$1124)</f>
        <v>SANTANDER</v>
      </c>
      <c r="D941" s="40" t="str">
        <f t="shared" si="29"/>
        <v>745</v>
      </c>
      <c r="E941" s="39" t="str">
        <f>+_xlfn.XLOOKUP(A941,Hoja3!$C$3:$C$1124,Hoja3!$D$3:$D$1124)</f>
        <v>SIMACOTA</v>
      </c>
      <c r="F941" s="42">
        <v>45658</v>
      </c>
    </row>
    <row r="942" spans="1:6" x14ac:dyDescent="0.25">
      <c r="A942" s="37" t="s">
        <v>811</v>
      </c>
      <c r="B942" s="38" t="str">
        <f t="shared" si="28"/>
        <v>86</v>
      </c>
      <c r="C942" s="39" t="str">
        <f>+_xlfn.XLOOKUP(A942,Hoja3!$C$3:$C$1124,Hoja3!$B$3:$B$1124)</f>
        <v>PUTUMAYO</v>
      </c>
      <c r="D942" s="40" t="str">
        <f t="shared" si="29"/>
        <v>749</v>
      </c>
      <c r="E942" s="39" t="str">
        <f>+_xlfn.XLOOKUP(A942,Hoja3!$C$3:$C$1124,Hoja3!$D$3:$D$1124)</f>
        <v>SIBUNDOY</v>
      </c>
      <c r="F942" s="41">
        <v>44018</v>
      </c>
    </row>
    <row r="943" spans="1:6" x14ac:dyDescent="0.25">
      <c r="A943" s="37" t="s">
        <v>423</v>
      </c>
      <c r="B943" s="38" t="str">
        <f t="shared" si="28"/>
        <v>20</v>
      </c>
      <c r="C943" s="39" t="str">
        <f>+_xlfn.XLOOKUP(A943,Hoja3!$C$3:$C$1124,Hoja3!$B$3:$B$1124)</f>
        <v>CESAR</v>
      </c>
      <c r="D943" s="40" t="str">
        <f t="shared" si="29"/>
        <v>750</v>
      </c>
      <c r="E943" s="39" t="str">
        <f>+_xlfn.XLOOKUP(A943,Hoja3!$C$3:$C$1124,Hoja3!$D$3:$D$1124)</f>
        <v>SAN DIEGO</v>
      </c>
      <c r="F943" s="41">
        <v>43909</v>
      </c>
    </row>
    <row r="944" spans="1:6" x14ac:dyDescent="0.25">
      <c r="A944" s="37" t="s">
        <v>2014</v>
      </c>
      <c r="B944" s="38" t="str">
        <f t="shared" si="28"/>
        <v>15</v>
      </c>
      <c r="C944" s="39" t="str">
        <f>+_xlfn.XLOOKUP(A944,Hoja3!$C$3:$C$1124,Hoja3!$B$3:$B$1124)</f>
        <v>BOYACÁ</v>
      </c>
      <c r="D944" s="40" t="str">
        <f t="shared" si="29"/>
        <v>753</v>
      </c>
      <c r="E944" s="39" t="str">
        <f>+_xlfn.XLOOKUP(A944,Hoja3!$C$3:$C$1124,Hoja3!$D$3:$D$1124)</f>
        <v>SOATÁ</v>
      </c>
      <c r="F944" s="41">
        <v>44017</v>
      </c>
    </row>
    <row r="945" spans="1:6" x14ac:dyDescent="0.25">
      <c r="A945" s="37" t="s">
        <v>344</v>
      </c>
      <c r="B945" s="38" t="str">
        <f t="shared" si="28"/>
        <v>18</v>
      </c>
      <c r="C945" s="39" t="str">
        <f>+_xlfn.XLOOKUP(A945,Hoja3!$C$3:$C$1124,Hoja3!$B$3:$B$1124)</f>
        <v>CAQUETÁ</v>
      </c>
      <c r="D945" s="40" t="str">
        <f t="shared" si="29"/>
        <v>753</v>
      </c>
      <c r="E945" s="39" t="str">
        <f>+_xlfn.XLOOKUP(A945,Hoja3!$C$3:$C$1124,Hoja3!$D$3:$D$1124)</f>
        <v>SAN VICENTE DEL CAGUÁN</v>
      </c>
      <c r="F945" s="41">
        <v>43943</v>
      </c>
    </row>
    <row r="946" spans="1:6" x14ac:dyDescent="0.25">
      <c r="A946" s="37" t="s">
        <v>561</v>
      </c>
      <c r="B946" s="38" t="str">
        <f t="shared" si="28"/>
        <v>25</v>
      </c>
      <c r="C946" s="39" t="str">
        <f>+_xlfn.XLOOKUP(A946,Hoja3!$C$3:$C$1124,Hoja3!$B$3:$B$1124)</f>
        <v>CUNDINAMARCA</v>
      </c>
      <c r="D946" s="40" t="str">
        <f t="shared" si="29"/>
        <v>754</v>
      </c>
      <c r="E946" s="39" t="str">
        <f>+_xlfn.XLOOKUP(A946,Hoja3!$C$3:$C$1124,Hoja3!$D$3:$D$1124)</f>
        <v>SOACHA</v>
      </c>
      <c r="F946" s="41">
        <v>43901</v>
      </c>
    </row>
    <row r="947" spans="1:6" x14ac:dyDescent="0.25">
      <c r="A947" s="37" t="s">
        <v>910</v>
      </c>
      <c r="B947" s="38" t="str">
        <f t="shared" si="28"/>
        <v>68</v>
      </c>
      <c r="C947" s="39" t="str">
        <f>+_xlfn.XLOOKUP(A947,Hoja3!$C$3:$C$1124,Hoja3!$B$3:$B$1124)</f>
        <v>SANTANDER</v>
      </c>
      <c r="D947" s="40" t="str">
        <f t="shared" si="29"/>
        <v>755</v>
      </c>
      <c r="E947" s="39" t="str">
        <f>+_xlfn.XLOOKUP(A947,Hoja3!$C$3:$C$1124,Hoja3!$D$3:$D$1124)</f>
        <v>SOCORRO</v>
      </c>
      <c r="F947" s="41">
        <v>43963</v>
      </c>
    </row>
    <row r="948" spans="1:6" x14ac:dyDescent="0.25">
      <c r="A948" s="38" t="s">
        <v>2058</v>
      </c>
      <c r="B948" s="38" t="str">
        <f t="shared" si="28"/>
        <v>15</v>
      </c>
      <c r="C948" s="39" t="str">
        <f>+_xlfn.XLOOKUP(A948,Hoja3!$C$3:$C$1124,Hoja3!$B$3:$B$1124)</f>
        <v>BOYACÁ</v>
      </c>
      <c r="D948" s="40" t="str">
        <f t="shared" si="29"/>
        <v>755</v>
      </c>
      <c r="E948" s="39" t="str">
        <f>+_xlfn.XLOOKUP(A948,Hoja3!$C$3:$C$1124,Hoja3!$D$3:$D$1124)</f>
        <v>SOCOTÁ</v>
      </c>
      <c r="F948" s="42">
        <v>45658</v>
      </c>
    </row>
    <row r="949" spans="1:6" x14ac:dyDescent="0.25">
      <c r="A949" s="38" t="s">
        <v>2066</v>
      </c>
      <c r="B949" s="38" t="str">
        <f t="shared" si="28"/>
        <v>86</v>
      </c>
      <c r="C949" s="39" t="str">
        <f>+_xlfn.XLOOKUP(A949,Hoja3!$C$3:$C$1124,Hoja3!$B$3:$B$1124)</f>
        <v>PUTUMAYO</v>
      </c>
      <c r="D949" s="40" t="str">
        <f t="shared" si="29"/>
        <v>755</v>
      </c>
      <c r="E949" s="39" t="str">
        <f>+_xlfn.XLOOKUP(A949,Hoja3!$C$3:$C$1124,Hoja3!$D$3:$D$1124)</f>
        <v>SAN FRANCISCO</v>
      </c>
      <c r="F949" s="42">
        <v>45658</v>
      </c>
    </row>
    <row r="950" spans="1:6" x14ac:dyDescent="0.25">
      <c r="A950" s="37" t="s">
        <v>109</v>
      </c>
      <c r="B950" s="38" t="str">
        <f t="shared" si="28"/>
        <v>05</v>
      </c>
      <c r="C950" s="39" t="str">
        <f>+_xlfn.XLOOKUP(A950,Hoja3!$C$3:$C$1124,Hoja3!$B$3:$B$1124)</f>
        <v>ANTIOQUIA</v>
      </c>
      <c r="D950" s="40" t="str">
        <f t="shared" si="29"/>
        <v>756</v>
      </c>
      <c r="E950" s="39" t="str">
        <f>+_xlfn.XLOOKUP(A950,Hoja3!$C$3:$C$1124,Hoja3!$D$3:$D$1124)</f>
        <v>SONSÓN</v>
      </c>
      <c r="F950" s="41">
        <v>43924</v>
      </c>
    </row>
    <row r="951" spans="1:6" x14ac:dyDescent="0.25">
      <c r="A951" s="37" t="s">
        <v>345</v>
      </c>
      <c r="B951" s="38" t="str">
        <f t="shared" si="28"/>
        <v>18</v>
      </c>
      <c r="C951" s="39" t="str">
        <f>+_xlfn.XLOOKUP(A951,Hoja3!$C$3:$C$1124,Hoja3!$B$3:$B$1124)</f>
        <v>CAQUETÁ</v>
      </c>
      <c r="D951" s="40" t="str">
        <f t="shared" si="29"/>
        <v>756</v>
      </c>
      <c r="E951" s="39" t="str">
        <f>+_xlfn.XLOOKUP(A951,Hoja3!$C$3:$C$1124,Hoja3!$D$3:$D$1124)</f>
        <v>SOLANO</v>
      </c>
      <c r="F951" s="41">
        <v>44025</v>
      </c>
    </row>
    <row r="952" spans="1:6" x14ac:dyDescent="0.25">
      <c r="A952" s="37" t="s">
        <v>282</v>
      </c>
      <c r="B952" s="38" t="str">
        <f t="shared" si="28"/>
        <v>15</v>
      </c>
      <c r="C952" s="39" t="str">
        <f>+_xlfn.XLOOKUP(A952,Hoja3!$C$3:$C$1124,Hoja3!$B$3:$B$1124)</f>
        <v>BOYACÁ</v>
      </c>
      <c r="D952" s="40" t="str">
        <f t="shared" si="29"/>
        <v>757</v>
      </c>
      <c r="E952" s="39" t="str">
        <f>+_xlfn.XLOOKUP(A952,Hoja3!$C$3:$C$1124,Hoja3!$D$3:$D$1124)</f>
        <v>SOCHA</v>
      </c>
      <c r="F952" s="41">
        <v>43913</v>
      </c>
    </row>
    <row r="953" spans="1:6" x14ac:dyDescent="0.25">
      <c r="A953" s="37" t="s">
        <v>812</v>
      </c>
      <c r="B953" s="38" t="str">
        <f t="shared" si="28"/>
        <v>86</v>
      </c>
      <c r="C953" s="39" t="str">
        <f>+_xlfn.XLOOKUP(A953,Hoja3!$C$3:$C$1124,Hoja3!$B$3:$B$1124)</f>
        <v>PUTUMAYO</v>
      </c>
      <c r="D953" s="40" t="str">
        <f t="shared" si="29"/>
        <v>757</v>
      </c>
      <c r="E953" s="39" t="str">
        <f>+_xlfn.XLOOKUP(A953,Hoja3!$C$3:$C$1124,Hoja3!$D$3:$D$1124)</f>
        <v>SAN MIGUEL</v>
      </c>
      <c r="F953" s="41">
        <v>43964</v>
      </c>
    </row>
    <row r="954" spans="1:6" x14ac:dyDescent="0.25">
      <c r="A954" s="37" t="s">
        <v>154</v>
      </c>
      <c r="B954" s="38" t="str">
        <f t="shared" si="28"/>
        <v>08</v>
      </c>
      <c r="C954" s="39" t="str">
        <f>+_xlfn.XLOOKUP(A954,Hoja3!$C$3:$C$1124,Hoja3!$B$3:$B$1124)</f>
        <v>ATLÁNTICO</v>
      </c>
      <c r="D954" s="40" t="str">
        <f t="shared" si="29"/>
        <v>758</v>
      </c>
      <c r="E954" s="39" t="str">
        <f>+_xlfn.XLOOKUP(A954,Hoja3!$C$3:$C$1124,Hoja3!$D$3:$D$1124)</f>
        <v>SOLEDAD</v>
      </c>
      <c r="F954" s="41">
        <v>43905</v>
      </c>
    </row>
    <row r="955" spans="1:6" x14ac:dyDescent="0.25">
      <c r="A955" s="37" t="s">
        <v>562</v>
      </c>
      <c r="B955" s="38" t="str">
        <f t="shared" si="28"/>
        <v>25</v>
      </c>
      <c r="C955" s="39" t="str">
        <f>+_xlfn.XLOOKUP(A955,Hoja3!$C$3:$C$1124,Hoja3!$B$3:$B$1124)</f>
        <v>CUNDINAMARCA</v>
      </c>
      <c r="D955" s="40" t="str">
        <f t="shared" si="29"/>
        <v>758</v>
      </c>
      <c r="E955" s="39" t="str">
        <f>+_xlfn.XLOOKUP(A955,Hoja3!$C$3:$C$1124,Hoja3!$D$3:$D$1124)</f>
        <v>SOPÓ</v>
      </c>
      <c r="F955" s="41">
        <v>43907</v>
      </c>
    </row>
    <row r="956" spans="1:6" x14ac:dyDescent="0.25">
      <c r="A956" s="37" t="s">
        <v>283</v>
      </c>
      <c r="B956" s="38" t="str">
        <f t="shared" si="28"/>
        <v>15</v>
      </c>
      <c r="C956" s="39" t="str">
        <f>+_xlfn.XLOOKUP(A956,Hoja3!$C$3:$C$1124,Hoja3!$B$3:$B$1124)</f>
        <v>BOYACÁ</v>
      </c>
      <c r="D956" s="40" t="str">
        <f t="shared" si="29"/>
        <v>759</v>
      </c>
      <c r="E956" s="39" t="str">
        <f>+_xlfn.XLOOKUP(A956,Hoja3!$C$3:$C$1124,Hoja3!$D$3:$D$1124)</f>
        <v>SOGAMOSO</v>
      </c>
      <c r="F956" s="41">
        <v>43915</v>
      </c>
    </row>
    <row r="957" spans="1:6" x14ac:dyDescent="0.25">
      <c r="A957" s="37" t="s">
        <v>198</v>
      </c>
      <c r="B957" s="38" t="str">
        <f t="shared" si="28"/>
        <v>13</v>
      </c>
      <c r="C957" s="39" t="str">
        <f>+_xlfn.XLOOKUP(A957,Hoja3!$C$3:$C$1124,Hoja3!$B$3:$B$1124)</f>
        <v>BOLÍVAR</v>
      </c>
      <c r="D957" s="40" t="str">
        <f t="shared" si="29"/>
        <v>760</v>
      </c>
      <c r="E957" s="39" t="str">
        <f>+_xlfn.XLOOKUP(A957,Hoja3!$C$3:$C$1124,Hoja3!$D$3:$D$1124)</f>
        <v>SOPLAVIENTO</v>
      </c>
      <c r="F957" s="41">
        <v>43995</v>
      </c>
    </row>
    <row r="958" spans="1:6" x14ac:dyDescent="0.25">
      <c r="A958" s="37" t="s">
        <v>393</v>
      </c>
      <c r="B958" s="38" t="str">
        <f t="shared" si="28"/>
        <v>19</v>
      </c>
      <c r="C958" s="39" t="str">
        <f>+_xlfn.XLOOKUP(A958,Hoja3!$C$3:$C$1124,Hoja3!$B$3:$B$1124)</f>
        <v>CAUCA</v>
      </c>
      <c r="D958" s="40" t="str">
        <f t="shared" si="29"/>
        <v>760</v>
      </c>
      <c r="E958" s="39" t="str">
        <f>+_xlfn.XLOOKUP(A958,Hoja3!$C$3:$C$1124,Hoja3!$D$3:$D$1124)</f>
        <v>SOTARÁ - PAISPAMBA</v>
      </c>
      <c r="F958" s="41">
        <v>44036</v>
      </c>
    </row>
    <row r="959" spans="1:6" x14ac:dyDescent="0.25">
      <c r="A959" s="37" t="s">
        <v>813</v>
      </c>
      <c r="B959" s="38" t="str">
        <f t="shared" si="28"/>
        <v>86</v>
      </c>
      <c r="C959" s="39" t="str">
        <f>+_xlfn.XLOOKUP(A959,Hoja3!$C$3:$C$1124,Hoja3!$B$3:$B$1124)</f>
        <v>PUTUMAYO</v>
      </c>
      <c r="D959" s="40" t="str">
        <f t="shared" si="29"/>
        <v>760</v>
      </c>
      <c r="E959" s="39" t="str">
        <f>+_xlfn.XLOOKUP(A959,Hoja3!$C$3:$C$1124,Hoja3!$D$3:$D$1124)</f>
        <v>SANTIAGO</v>
      </c>
      <c r="F959" s="41">
        <v>44007</v>
      </c>
    </row>
    <row r="960" spans="1:6" x14ac:dyDescent="0.25">
      <c r="A960" s="37" t="s">
        <v>110</v>
      </c>
      <c r="B960" s="38" t="str">
        <f t="shared" si="28"/>
        <v>05</v>
      </c>
      <c r="C960" s="39" t="str">
        <f>+_xlfn.XLOOKUP(A960,Hoja3!$C$3:$C$1124,Hoja3!$B$3:$B$1124)</f>
        <v>ANTIOQUIA</v>
      </c>
      <c r="D960" s="40" t="str">
        <f t="shared" si="29"/>
        <v>761</v>
      </c>
      <c r="E960" s="39" t="str">
        <f>+_xlfn.XLOOKUP(A960,Hoja3!$C$3:$C$1124,Hoja3!$D$3:$D$1124)</f>
        <v>SOPETRÁN</v>
      </c>
      <c r="F960" s="41">
        <v>44006</v>
      </c>
    </row>
    <row r="961" spans="1:6" x14ac:dyDescent="0.25">
      <c r="A961" s="38" t="s">
        <v>2072</v>
      </c>
      <c r="B961" s="38" t="str">
        <f t="shared" si="28"/>
        <v>15</v>
      </c>
      <c r="C961" s="39" t="str">
        <f>+_xlfn.XLOOKUP(A961,Hoja3!$C$3:$C$1124,Hoja3!$B$3:$B$1124)</f>
        <v>BOYACÁ</v>
      </c>
      <c r="D961" s="40" t="str">
        <f t="shared" si="29"/>
        <v>761</v>
      </c>
      <c r="E961" s="39" t="str">
        <f>+_xlfn.XLOOKUP(A961,Hoja3!$C$3:$C$1124,Hoja3!$D$3:$D$1124)</f>
        <v>SOMONDOCO</v>
      </c>
      <c r="F961" s="42">
        <v>45658</v>
      </c>
    </row>
    <row r="962" spans="1:6" x14ac:dyDescent="0.25">
      <c r="A962" s="38" t="s">
        <v>2062</v>
      </c>
      <c r="B962" s="38" t="str">
        <f t="shared" ref="B962:B1025" si="30">MID(A962,1,2)</f>
        <v>15</v>
      </c>
      <c r="C962" s="39" t="str">
        <f>+_xlfn.XLOOKUP(A962,Hoja3!$C$3:$C$1124,Hoja3!$B$3:$B$1124)</f>
        <v>BOYACÁ</v>
      </c>
      <c r="D962" s="40" t="str">
        <f t="shared" ref="D962:D1025" si="31">MID(A962,3,3)</f>
        <v>762</v>
      </c>
      <c r="E962" s="39" t="str">
        <f>+_xlfn.XLOOKUP(A962,Hoja3!$C$3:$C$1124,Hoja3!$D$3:$D$1124)</f>
        <v>SORA</v>
      </c>
      <c r="F962" s="42">
        <v>45658</v>
      </c>
    </row>
    <row r="963" spans="1:6" x14ac:dyDescent="0.25">
      <c r="A963" s="37" t="s">
        <v>284</v>
      </c>
      <c r="B963" s="38" t="str">
        <f t="shared" si="30"/>
        <v>15</v>
      </c>
      <c r="C963" s="39" t="str">
        <f>+_xlfn.XLOOKUP(A963,Hoja3!$C$3:$C$1124,Hoja3!$B$3:$B$1124)</f>
        <v>BOYACÁ</v>
      </c>
      <c r="D963" s="40" t="str">
        <f t="shared" si="31"/>
        <v>763</v>
      </c>
      <c r="E963" s="39" t="str">
        <f>+_xlfn.XLOOKUP(A963,Hoja3!$C$3:$C$1124,Hoja3!$D$3:$D$1124)</f>
        <v>SOTAQUIRÁ</v>
      </c>
      <c r="F963" s="41">
        <v>44042</v>
      </c>
    </row>
    <row r="964" spans="1:6" x14ac:dyDescent="0.25">
      <c r="A964" s="37" t="s">
        <v>285</v>
      </c>
      <c r="B964" s="38" t="str">
        <f t="shared" si="30"/>
        <v>15</v>
      </c>
      <c r="C964" s="39" t="str">
        <f>+_xlfn.XLOOKUP(A964,Hoja3!$C$3:$C$1124,Hoja3!$B$3:$B$1124)</f>
        <v>BOYACÁ</v>
      </c>
      <c r="D964" s="40" t="str">
        <f t="shared" si="31"/>
        <v>764</v>
      </c>
      <c r="E964" s="39" t="str">
        <f>+_xlfn.XLOOKUP(A964,Hoja3!$C$3:$C$1124,Hoja3!$D$3:$D$1124)</f>
        <v>SORACÁ</v>
      </c>
      <c r="F964" s="41">
        <v>44012</v>
      </c>
    </row>
    <row r="965" spans="1:6" x14ac:dyDescent="0.25">
      <c r="A965" s="37" t="s">
        <v>563</v>
      </c>
      <c r="B965" s="38" t="str">
        <f t="shared" si="30"/>
        <v>25</v>
      </c>
      <c r="C965" s="39" t="str">
        <f>+_xlfn.XLOOKUP(A965,Hoja3!$C$3:$C$1124,Hoja3!$B$3:$B$1124)</f>
        <v>CUNDINAMARCA</v>
      </c>
      <c r="D965" s="40" t="str">
        <f t="shared" si="31"/>
        <v>769</v>
      </c>
      <c r="E965" s="39" t="str">
        <f>+_xlfn.XLOOKUP(A965,Hoja3!$C$3:$C$1124,Hoja3!$D$3:$D$1124)</f>
        <v>SUBACHOQUE</v>
      </c>
      <c r="F965" s="41">
        <v>43902</v>
      </c>
    </row>
    <row r="966" spans="1:6" x14ac:dyDescent="0.25">
      <c r="A966" s="37" t="s">
        <v>155</v>
      </c>
      <c r="B966" s="38" t="str">
        <f t="shared" si="30"/>
        <v>08</v>
      </c>
      <c r="C966" s="39" t="str">
        <f>+_xlfn.XLOOKUP(A966,Hoja3!$C$3:$C$1124,Hoja3!$B$3:$B$1124)</f>
        <v>ATLÁNTICO</v>
      </c>
      <c r="D966" s="40" t="str">
        <f t="shared" si="31"/>
        <v>770</v>
      </c>
      <c r="E966" s="39" t="str">
        <f>+_xlfn.XLOOKUP(A966,Hoja3!$C$3:$C$1124,Hoja3!$D$3:$D$1124)</f>
        <v>SUAN</v>
      </c>
      <c r="F966" s="41">
        <v>43977</v>
      </c>
    </row>
    <row r="967" spans="1:6" x14ac:dyDescent="0.25">
      <c r="A967" s="37" t="s">
        <v>424</v>
      </c>
      <c r="B967" s="38" t="str">
        <f t="shared" si="30"/>
        <v>20</v>
      </c>
      <c r="C967" s="39" t="str">
        <f>+_xlfn.XLOOKUP(A967,Hoja3!$C$3:$C$1124,Hoja3!$B$3:$B$1124)</f>
        <v>CESAR</v>
      </c>
      <c r="D967" s="40" t="str">
        <f t="shared" si="31"/>
        <v>770</v>
      </c>
      <c r="E967" s="39" t="str">
        <f>+_xlfn.XLOOKUP(A967,Hoja3!$C$3:$C$1124,Hoja3!$D$3:$D$1124)</f>
        <v>SAN MARTÍN</v>
      </c>
      <c r="F967" s="41">
        <v>43923</v>
      </c>
    </row>
    <row r="968" spans="1:6" x14ac:dyDescent="0.25">
      <c r="A968" s="37" t="s">
        <v>624</v>
      </c>
      <c r="B968" s="38" t="str">
        <f t="shared" si="30"/>
        <v>41</v>
      </c>
      <c r="C968" s="39" t="str">
        <f>+_xlfn.XLOOKUP(A968,Hoja3!$C$3:$C$1124,Hoja3!$B$3:$B$1124)</f>
        <v>HUILA</v>
      </c>
      <c r="D968" s="40" t="str">
        <f t="shared" si="31"/>
        <v>770</v>
      </c>
      <c r="E968" s="39" t="str">
        <f>+_xlfn.XLOOKUP(A968,Hoja3!$C$3:$C$1124,Hoja3!$D$3:$D$1124)</f>
        <v>SUAZA</v>
      </c>
      <c r="F968" s="41">
        <v>44020</v>
      </c>
    </row>
    <row r="969" spans="1:6" x14ac:dyDescent="0.25">
      <c r="A969" s="37" t="s">
        <v>911</v>
      </c>
      <c r="B969" s="38" t="str">
        <f t="shared" si="30"/>
        <v>68</v>
      </c>
      <c r="C969" s="39" t="str">
        <f>+_xlfn.XLOOKUP(A969,Hoja3!$C$3:$C$1124,Hoja3!$B$3:$B$1124)</f>
        <v>SANTANDER</v>
      </c>
      <c r="D969" s="40" t="str">
        <f t="shared" si="31"/>
        <v>770</v>
      </c>
      <c r="E969" s="39" t="str">
        <f>+_xlfn.XLOOKUP(A969,Hoja3!$C$3:$C$1124,Hoja3!$D$3:$D$1124)</f>
        <v>SUAITA</v>
      </c>
      <c r="F969" s="41">
        <v>43990</v>
      </c>
    </row>
    <row r="970" spans="1:6" x14ac:dyDescent="0.25">
      <c r="A970" s="37" t="s">
        <v>983</v>
      </c>
      <c r="B970" s="38" t="str">
        <f t="shared" si="30"/>
        <v>73</v>
      </c>
      <c r="C970" s="39" t="str">
        <f>+_xlfn.XLOOKUP(A970,Hoja3!$C$3:$C$1124,Hoja3!$B$3:$B$1124)</f>
        <v>TOLIMA</v>
      </c>
      <c r="D970" s="40" t="str">
        <f t="shared" si="31"/>
        <v>770</v>
      </c>
      <c r="E970" s="39" t="str">
        <f>+_xlfn.XLOOKUP(A970,Hoja3!$C$3:$C$1124,Hoja3!$D$3:$D$1124)</f>
        <v>SUÁREZ</v>
      </c>
      <c r="F970" s="41">
        <v>44036</v>
      </c>
    </row>
    <row r="971" spans="1:6" x14ac:dyDescent="0.25">
      <c r="A971" s="37" t="s">
        <v>942</v>
      </c>
      <c r="B971" s="38" t="str">
        <f t="shared" si="30"/>
        <v>70</v>
      </c>
      <c r="C971" s="39" t="str">
        <f>+_xlfn.XLOOKUP(A971,Hoja3!$C$3:$C$1124,Hoja3!$B$3:$B$1124)</f>
        <v>SUCRE</v>
      </c>
      <c r="D971" s="40" t="str">
        <f t="shared" si="31"/>
        <v>771</v>
      </c>
      <c r="E971" s="39" t="str">
        <f>+_xlfn.XLOOKUP(A971,Hoja3!$C$3:$C$1124,Hoja3!$D$3:$D$1124)</f>
        <v>SUCRE</v>
      </c>
      <c r="F971" s="41">
        <v>43978</v>
      </c>
    </row>
    <row r="972" spans="1:6" x14ac:dyDescent="0.25">
      <c r="A972" s="37" t="s">
        <v>564</v>
      </c>
      <c r="B972" s="38" t="str">
        <f t="shared" si="30"/>
        <v>25</v>
      </c>
      <c r="C972" s="39" t="str">
        <f>+_xlfn.XLOOKUP(A972,Hoja3!$C$3:$C$1124,Hoja3!$B$3:$B$1124)</f>
        <v>CUNDINAMARCA</v>
      </c>
      <c r="D972" s="40" t="str">
        <f t="shared" si="31"/>
        <v>772</v>
      </c>
      <c r="E972" s="39" t="str">
        <f>+_xlfn.XLOOKUP(A972,Hoja3!$C$3:$C$1124,Hoja3!$D$3:$D$1124)</f>
        <v>SUESCA</v>
      </c>
      <c r="F972" s="41">
        <v>43919</v>
      </c>
    </row>
    <row r="973" spans="1:6" x14ac:dyDescent="0.25">
      <c r="A973" s="37" t="s">
        <v>912</v>
      </c>
      <c r="B973" s="38" t="str">
        <f t="shared" si="30"/>
        <v>68</v>
      </c>
      <c r="C973" s="39" t="str">
        <f>+_xlfn.XLOOKUP(A973,Hoja3!$C$3:$C$1124,Hoja3!$B$3:$B$1124)</f>
        <v>SANTANDER</v>
      </c>
      <c r="D973" s="40" t="str">
        <f t="shared" si="31"/>
        <v>773</v>
      </c>
      <c r="E973" s="39" t="str">
        <f>+_xlfn.XLOOKUP(A973,Hoja3!$C$3:$C$1124,Hoja3!$D$3:$D$1124)</f>
        <v>SUCRE</v>
      </c>
      <c r="F973" s="41">
        <v>44032</v>
      </c>
    </row>
    <row r="974" spans="1:6" x14ac:dyDescent="0.25">
      <c r="A974" s="37" t="s">
        <v>1034</v>
      </c>
      <c r="B974" s="38" t="str">
        <f t="shared" si="30"/>
        <v>99</v>
      </c>
      <c r="C974" s="39" t="str">
        <f>+_xlfn.XLOOKUP(A974,Hoja3!$C$3:$C$1124,Hoja3!$B$3:$B$1124)</f>
        <v>VICHADA</v>
      </c>
      <c r="D974" s="40" t="str">
        <f t="shared" si="31"/>
        <v>773</v>
      </c>
      <c r="E974" s="39" t="str">
        <f>+_xlfn.XLOOKUP(A974,Hoja3!$C$3:$C$1124,Hoja3!$D$3:$D$1124)</f>
        <v>CUMARIBO</v>
      </c>
      <c r="F974" s="41">
        <v>44043</v>
      </c>
    </row>
    <row r="975" spans="1:6" x14ac:dyDescent="0.25">
      <c r="A975" s="37" t="s">
        <v>286</v>
      </c>
      <c r="B975" s="38" t="str">
        <f t="shared" si="30"/>
        <v>15</v>
      </c>
      <c r="C975" s="39" t="str">
        <f>+_xlfn.XLOOKUP(A975,Hoja3!$C$3:$C$1124,Hoja3!$B$3:$B$1124)</f>
        <v>BOYACÁ</v>
      </c>
      <c r="D975" s="40" t="str">
        <f t="shared" si="31"/>
        <v>774</v>
      </c>
      <c r="E975" s="39" t="str">
        <f>+_xlfn.XLOOKUP(A975,Hoja3!$C$3:$C$1124,Hoja3!$D$3:$D$1124)</f>
        <v>SUSACÓN</v>
      </c>
      <c r="F975" s="41">
        <v>43995</v>
      </c>
    </row>
    <row r="976" spans="1:6" x14ac:dyDescent="0.25">
      <c r="A976" s="37" t="s">
        <v>287</v>
      </c>
      <c r="B976" s="38" t="str">
        <f t="shared" si="30"/>
        <v>15</v>
      </c>
      <c r="C976" s="39" t="str">
        <f>+_xlfn.XLOOKUP(A976,Hoja3!$C$3:$C$1124,Hoja3!$B$3:$B$1124)</f>
        <v>BOYACÁ</v>
      </c>
      <c r="D976" s="40" t="str">
        <f t="shared" si="31"/>
        <v>776</v>
      </c>
      <c r="E976" s="39" t="str">
        <f>+_xlfn.XLOOKUP(A976,Hoja3!$C$3:$C$1124,Hoja3!$D$3:$D$1124)</f>
        <v>SUTAMARCHÁN</v>
      </c>
      <c r="F976" s="41">
        <v>43961</v>
      </c>
    </row>
    <row r="977" spans="1:6" x14ac:dyDescent="0.25">
      <c r="A977" s="37" t="s">
        <v>328</v>
      </c>
      <c r="B977" s="38" t="str">
        <f t="shared" si="30"/>
        <v>17</v>
      </c>
      <c r="C977" s="39" t="str">
        <f>+_xlfn.XLOOKUP(A977,Hoja3!$C$3:$C$1124,Hoja3!$B$3:$B$1124)</f>
        <v>CALDAS</v>
      </c>
      <c r="D977" s="40" t="str">
        <f t="shared" si="31"/>
        <v>777</v>
      </c>
      <c r="E977" s="39" t="str">
        <f>+_xlfn.XLOOKUP(A977,Hoja3!$C$3:$C$1124,Hoja3!$D$3:$D$1124)</f>
        <v>SUPÍA</v>
      </c>
      <c r="F977" s="41">
        <v>43979</v>
      </c>
    </row>
    <row r="978" spans="1:6" x14ac:dyDescent="0.25">
      <c r="A978" s="37" t="s">
        <v>565</v>
      </c>
      <c r="B978" s="38" t="str">
        <f t="shared" si="30"/>
        <v>25</v>
      </c>
      <c r="C978" s="39" t="str">
        <f>+_xlfn.XLOOKUP(A978,Hoja3!$C$3:$C$1124,Hoja3!$B$3:$B$1124)</f>
        <v>CUNDINAMARCA</v>
      </c>
      <c r="D978" s="40" t="str">
        <f t="shared" si="31"/>
        <v>777</v>
      </c>
      <c r="E978" s="39" t="str">
        <f>+_xlfn.XLOOKUP(A978,Hoja3!$C$3:$C$1124,Hoja3!$D$3:$D$1124)</f>
        <v>SUPATÁ</v>
      </c>
      <c r="F978" s="41">
        <v>44046</v>
      </c>
    </row>
    <row r="979" spans="1:6" x14ac:dyDescent="0.25">
      <c r="A979" s="38" t="s">
        <v>2064</v>
      </c>
      <c r="B979" s="38" t="str">
        <f t="shared" si="30"/>
        <v>97</v>
      </c>
      <c r="C979" s="39" t="str">
        <f>+_xlfn.XLOOKUP(A979,Hoja3!$C$3:$C$1124,Hoja3!$B$3:$B$1124)</f>
        <v>VAUPÉS</v>
      </c>
      <c r="D979" s="40" t="str">
        <f t="shared" si="31"/>
        <v>777</v>
      </c>
      <c r="E979" s="39" t="str">
        <f>+_xlfn.XLOOKUP(A979,Hoja3!$C$3:$C$1124,Hoja3!$D$3:$D$1124)</f>
        <v>PAPUNAHUA</v>
      </c>
      <c r="F979" s="42">
        <v>45658</v>
      </c>
    </row>
    <row r="980" spans="1:6" x14ac:dyDescent="0.25">
      <c r="A980" s="38" t="s">
        <v>2071</v>
      </c>
      <c r="B980" s="38" t="str">
        <f t="shared" si="30"/>
        <v>15</v>
      </c>
      <c r="C980" s="39" t="str">
        <f>+_xlfn.XLOOKUP(A980,Hoja3!$C$3:$C$1124,Hoja3!$B$3:$B$1124)</f>
        <v>BOYACÁ</v>
      </c>
      <c r="D980" s="40" t="str">
        <f t="shared" si="31"/>
        <v>778</v>
      </c>
      <c r="E980" s="39" t="str">
        <f>+_xlfn.XLOOKUP(A980,Hoja3!$C$3:$C$1124,Hoja3!$D$3:$D$1124)</f>
        <v>SUTATENZA</v>
      </c>
      <c r="F980" s="42">
        <v>45658</v>
      </c>
    </row>
    <row r="981" spans="1:6" x14ac:dyDescent="0.25">
      <c r="A981" s="37" t="s">
        <v>566</v>
      </c>
      <c r="B981" s="38" t="str">
        <f t="shared" si="30"/>
        <v>25</v>
      </c>
      <c r="C981" s="39" t="str">
        <f>+_xlfn.XLOOKUP(A981,Hoja3!$C$3:$C$1124,Hoja3!$B$3:$B$1124)</f>
        <v>CUNDINAMARCA</v>
      </c>
      <c r="D981" s="40" t="str">
        <f t="shared" si="31"/>
        <v>779</v>
      </c>
      <c r="E981" s="39" t="str">
        <f>+_xlfn.XLOOKUP(A981,Hoja3!$C$3:$C$1124,Hoja3!$D$3:$D$1124)</f>
        <v>SUSA</v>
      </c>
      <c r="F981" s="41">
        <v>44074</v>
      </c>
    </row>
    <row r="982" spans="1:6" x14ac:dyDescent="0.25">
      <c r="A982" s="37" t="s">
        <v>199</v>
      </c>
      <c r="B982" s="38" t="str">
        <f t="shared" si="30"/>
        <v>13</v>
      </c>
      <c r="C982" s="39" t="str">
        <f>+_xlfn.XLOOKUP(A982,Hoja3!$C$3:$C$1124,Hoja3!$B$3:$B$1124)</f>
        <v>BOLÍVAR</v>
      </c>
      <c r="D982" s="40" t="str">
        <f t="shared" si="31"/>
        <v>780</v>
      </c>
      <c r="E982" s="39" t="str">
        <f>+_xlfn.XLOOKUP(A982,Hoja3!$C$3:$C$1124,Hoja3!$D$3:$D$1124)</f>
        <v>TALAIGUA NUEVO</v>
      </c>
      <c r="F982" s="41">
        <v>44014</v>
      </c>
    </row>
    <row r="983" spans="1:6" x14ac:dyDescent="0.25">
      <c r="A983" s="37" t="s">
        <v>394</v>
      </c>
      <c r="B983" s="38" t="str">
        <f t="shared" si="30"/>
        <v>19</v>
      </c>
      <c r="C983" s="39" t="str">
        <f>+_xlfn.XLOOKUP(A983,Hoja3!$C$3:$C$1124,Hoja3!$B$3:$B$1124)</f>
        <v>CAUCA</v>
      </c>
      <c r="D983" s="40" t="str">
        <f t="shared" si="31"/>
        <v>780</v>
      </c>
      <c r="E983" s="39" t="str">
        <f>+_xlfn.XLOOKUP(A983,Hoja3!$C$3:$C$1124,Hoja3!$D$3:$D$1124)</f>
        <v>SUÁREZ</v>
      </c>
      <c r="F983" s="41">
        <v>44011</v>
      </c>
    </row>
    <row r="984" spans="1:6" x14ac:dyDescent="0.25">
      <c r="A984" s="38" t="s">
        <v>2097</v>
      </c>
      <c r="B984" s="38" t="str">
        <f t="shared" si="30"/>
        <v>68</v>
      </c>
      <c r="C984" s="39" t="str">
        <f>+_xlfn.XLOOKUP(A984,Hoja3!$C$3:$C$1124,Hoja3!$B$3:$B$1124)</f>
        <v>SANTANDER</v>
      </c>
      <c r="D984" s="40" t="str">
        <f t="shared" si="31"/>
        <v>780</v>
      </c>
      <c r="E984" s="39" t="str">
        <f>+_xlfn.XLOOKUP(A984,Hoja3!$C$3:$C$1124,Hoja3!$D$3:$D$1124)</f>
        <v>SURATÁ</v>
      </c>
      <c r="F984" s="42">
        <v>45658</v>
      </c>
    </row>
    <row r="985" spans="1:6" x14ac:dyDescent="0.25">
      <c r="A985" s="37" t="s">
        <v>567</v>
      </c>
      <c r="B985" s="38" t="str">
        <f t="shared" si="30"/>
        <v>25</v>
      </c>
      <c r="C985" s="39" t="str">
        <f>+_xlfn.XLOOKUP(A985,Hoja3!$C$3:$C$1124,Hoja3!$B$3:$B$1124)</f>
        <v>CUNDINAMARCA</v>
      </c>
      <c r="D985" s="40" t="str">
        <f t="shared" si="31"/>
        <v>781</v>
      </c>
      <c r="E985" s="39" t="str">
        <f>+_xlfn.XLOOKUP(A985,Hoja3!$C$3:$C$1124,Hoja3!$D$3:$D$1124)</f>
        <v>SUTATAUSA</v>
      </c>
      <c r="F985" s="41">
        <v>44036</v>
      </c>
    </row>
    <row r="986" spans="1:6" x14ac:dyDescent="0.25">
      <c r="A986" s="37" t="s">
        <v>346</v>
      </c>
      <c r="B986" s="38" t="str">
        <f t="shared" si="30"/>
        <v>18</v>
      </c>
      <c r="C986" s="39" t="str">
        <f>+_xlfn.XLOOKUP(A986,Hoja3!$C$3:$C$1124,Hoja3!$B$3:$B$1124)</f>
        <v>CAQUETÁ</v>
      </c>
      <c r="D986" s="40" t="str">
        <f t="shared" si="31"/>
        <v>785</v>
      </c>
      <c r="E986" s="39" t="str">
        <f>+_xlfn.XLOOKUP(A986,Hoja3!$C$3:$C$1124,Hoja3!$D$3:$D$1124)</f>
        <v>SOLITA</v>
      </c>
      <c r="F986" s="41">
        <v>43999</v>
      </c>
    </row>
    <row r="987" spans="1:6" x14ac:dyDescent="0.25">
      <c r="A987" s="37" t="s">
        <v>395</v>
      </c>
      <c r="B987" s="38" t="str">
        <f t="shared" si="30"/>
        <v>19</v>
      </c>
      <c r="C987" s="39" t="str">
        <f>+_xlfn.XLOOKUP(A987,Hoja3!$C$3:$C$1124,Hoja3!$B$3:$B$1124)</f>
        <v>CAUCA</v>
      </c>
      <c r="D987" s="40" t="str">
        <f t="shared" si="31"/>
        <v>785</v>
      </c>
      <c r="E987" s="39" t="str">
        <f>+_xlfn.XLOOKUP(A987,Hoja3!$C$3:$C$1124,Hoja3!$D$3:$D$1124)</f>
        <v>SUCRE</v>
      </c>
      <c r="F987" s="41">
        <v>44035</v>
      </c>
    </row>
    <row r="988" spans="1:6" x14ac:dyDescent="0.25">
      <c r="A988" s="37" t="s">
        <v>568</v>
      </c>
      <c r="B988" s="38" t="str">
        <f t="shared" si="30"/>
        <v>25</v>
      </c>
      <c r="C988" s="39" t="str">
        <f>+_xlfn.XLOOKUP(A988,Hoja3!$C$3:$C$1124,Hoja3!$B$3:$B$1124)</f>
        <v>CUNDINAMARCA</v>
      </c>
      <c r="D988" s="40" t="str">
        <f t="shared" si="31"/>
        <v>785</v>
      </c>
      <c r="E988" s="39" t="str">
        <f>+_xlfn.XLOOKUP(A988,Hoja3!$C$3:$C$1124,Hoja3!$D$3:$D$1124)</f>
        <v>TABIO</v>
      </c>
      <c r="F988" s="41">
        <v>43956</v>
      </c>
    </row>
    <row r="989" spans="1:6" x14ac:dyDescent="0.25">
      <c r="A989" s="37" t="s">
        <v>759</v>
      </c>
      <c r="B989" s="38" t="str">
        <f t="shared" si="30"/>
        <v>52</v>
      </c>
      <c r="C989" s="39" t="str">
        <f>+_xlfn.XLOOKUP(A989,Hoja3!$C$3:$C$1124,Hoja3!$B$3:$B$1124)</f>
        <v>NARIÑO</v>
      </c>
      <c r="D989" s="40" t="str">
        <f t="shared" si="31"/>
        <v>786</v>
      </c>
      <c r="E989" s="39" t="str">
        <f>+_xlfn.XLOOKUP(A989,Hoja3!$C$3:$C$1124,Hoja3!$D$3:$D$1124)</f>
        <v>TAMINANGO</v>
      </c>
      <c r="F989" s="41">
        <v>43980</v>
      </c>
    </row>
    <row r="990" spans="1:6" x14ac:dyDescent="0.25">
      <c r="A990" s="37" t="s">
        <v>425</v>
      </c>
      <c r="B990" s="38" t="str">
        <f t="shared" si="30"/>
        <v>20</v>
      </c>
      <c r="C990" s="39" t="str">
        <f>+_xlfn.XLOOKUP(A990,Hoja3!$C$3:$C$1124,Hoja3!$B$3:$B$1124)</f>
        <v>CESAR</v>
      </c>
      <c r="D990" s="40" t="str">
        <f t="shared" si="31"/>
        <v>787</v>
      </c>
      <c r="E990" s="39" t="str">
        <f>+_xlfn.XLOOKUP(A990,Hoja3!$C$3:$C$1124,Hoja3!$D$3:$D$1124)</f>
        <v>TAMALAMEQUE</v>
      </c>
      <c r="F990" s="41">
        <v>43985</v>
      </c>
    </row>
    <row r="991" spans="1:6" x14ac:dyDescent="0.25">
      <c r="A991" s="37" t="s">
        <v>449</v>
      </c>
      <c r="B991" s="38" t="str">
        <f t="shared" si="30"/>
        <v>27</v>
      </c>
      <c r="C991" s="39" t="str">
        <f>+_xlfn.XLOOKUP(A991,Hoja3!$C$3:$C$1124,Hoja3!$B$3:$B$1124)</f>
        <v>CHOCÓ</v>
      </c>
      <c r="D991" s="40" t="str">
        <f t="shared" si="31"/>
        <v>787</v>
      </c>
      <c r="E991" s="39" t="str">
        <f>+_xlfn.XLOOKUP(A991,Hoja3!$C$3:$C$1124,Hoja3!$D$3:$D$1124)</f>
        <v>TADÓ</v>
      </c>
      <c r="F991" s="41">
        <v>43959</v>
      </c>
    </row>
    <row r="992" spans="1:6" x14ac:dyDescent="0.25">
      <c r="A992" s="37" t="s">
        <v>760</v>
      </c>
      <c r="B992" s="38" t="str">
        <f t="shared" si="30"/>
        <v>52</v>
      </c>
      <c r="C992" s="39" t="str">
        <f>+_xlfn.XLOOKUP(A992,Hoja3!$C$3:$C$1124,Hoja3!$B$3:$B$1124)</f>
        <v>NARIÑO</v>
      </c>
      <c r="D992" s="40" t="str">
        <f t="shared" si="31"/>
        <v>788</v>
      </c>
      <c r="E992" s="39" t="str">
        <f>+_xlfn.XLOOKUP(A992,Hoja3!$C$3:$C$1124,Hoja3!$D$3:$D$1124)</f>
        <v>TANGUA</v>
      </c>
      <c r="F992" s="41">
        <v>44028</v>
      </c>
    </row>
    <row r="993" spans="1:6" x14ac:dyDescent="0.25">
      <c r="A993" s="37" t="s">
        <v>111</v>
      </c>
      <c r="B993" s="38" t="str">
        <f t="shared" si="30"/>
        <v>05</v>
      </c>
      <c r="C993" s="39" t="str">
        <f>+_xlfn.XLOOKUP(A993,Hoja3!$C$3:$C$1124,Hoja3!$B$3:$B$1124)</f>
        <v>ANTIOQUIA</v>
      </c>
      <c r="D993" s="40" t="str">
        <f t="shared" si="31"/>
        <v>789</v>
      </c>
      <c r="E993" s="39" t="str">
        <f>+_xlfn.XLOOKUP(A993,Hoja3!$C$3:$C$1124,Hoja3!$D$3:$D$1124)</f>
        <v>TÁMESIS</v>
      </c>
      <c r="F993" s="41">
        <v>43973</v>
      </c>
    </row>
    <row r="994" spans="1:6" x14ac:dyDescent="0.25">
      <c r="A994" s="37" t="s">
        <v>112</v>
      </c>
      <c r="B994" s="38" t="str">
        <f t="shared" si="30"/>
        <v>05</v>
      </c>
      <c r="C994" s="39" t="str">
        <f>+_xlfn.XLOOKUP(A994,Hoja3!$C$3:$C$1124,Hoja3!$B$3:$B$1124)</f>
        <v>ANTIOQUIA</v>
      </c>
      <c r="D994" s="40" t="str">
        <f t="shared" si="31"/>
        <v>790</v>
      </c>
      <c r="E994" s="39" t="str">
        <f>+_xlfn.XLOOKUP(A994,Hoja3!$C$3:$C$1124,Hoja3!$D$3:$D$1124)</f>
        <v>TARAZÁ</v>
      </c>
      <c r="F994" s="41">
        <v>43971</v>
      </c>
    </row>
    <row r="995" spans="1:6" x14ac:dyDescent="0.25">
      <c r="A995" s="37" t="s">
        <v>288</v>
      </c>
      <c r="B995" s="38" t="str">
        <f t="shared" si="30"/>
        <v>15</v>
      </c>
      <c r="C995" s="39" t="str">
        <f>+_xlfn.XLOOKUP(A995,Hoja3!$C$3:$C$1124,Hoja3!$B$3:$B$1124)</f>
        <v>BOYACÁ</v>
      </c>
      <c r="D995" s="40" t="str">
        <f t="shared" si="31"/>
        <v>790</v>
      </c>
      <c r="E995" s="39" t="str">
        <f>+_xlfn.XLOOKUP(A995,Hoja3!$C$3:$C$1124,Hoja3!$D$3:$D$1124)</f>
        <v>TASCO</v>
      </c>
      <c r="F995" s="41">
        <v>43970</v>
      </c>
    </row>
    <row r="996" spans="1:6" x14ac:dyDescent="0.25">
      <c r="A996" s="37" t="s">
        <v>625</v>
      </c>
      <c r="B996" s="38" t="str">
        <f t="shared" si="30"/>
        <v>41</v>
      </c>
      <c r="C996" s="39" t="str">
        <f>+_xlfn.XLOOKUP(A996,Hoja3!$C$3:$C$1124,Hoja3!$B$3:$B$1124)</f>
        <v>HUILA</v>
      </c>
      <c r="D996" s="40" t="str">
        <f t="shared" si="31"/>
        <v>791</v>
      </c>
      <c r="E996" s="39" t="str">
        <f>+_xlfn.XLOOKUP(A996,Hoja3!$C$3:$C$1124,Hoja3!$D$3:$D$1124)</f>
        <v>TARQUI</v>
      </c>
      <c r="F996" s="41">
        <v>44020</v>
      </c>
    </row>
    <row r="997" spans="1:6" x14ac:dyDescent="0.25">
      <c r="A997" s="37" t="s">
        <v>113</v>
      </c>
      <c r="B997" s="38" t="str">
        <f t="shared" si="30"/>
        <v>05</v>
      </c>
      <c r="C997" s="39" t="str">
        <f>+_xlfn.XLOOKUP(A997,Hoja3!$C$3:$C$1124,Hoja3!$B$3:$B$1124)</f>
        <v>ANTIOQUIA</v>
      </c>
      <c r="D997" s="40" t="str">
        <f t="shared" si="31"/>
        <v>792</v>
      </c>
      <c r="E997" s="39" t="str">
        <f>+_xlfn.XLOOKUP(A997,Hoja3!$C$3:$C$1124,Hoja3!$D$3:$D$1124)</f>
        <v>TARSO</v>
      </c>
      <c r="F997" s="41">
        <v>44021</v>
      </c>
    </row>
    <row r="998" spans="1:6" x14ac:dyDescent="0.25">
      <c r="A998" s="37" t="s">
        <v>569</v>
      </c>
      <c r="B998" s="38" t="str">
        <f t="shared" si="30"/>
        <v>25</v>
      </c>
      <c r="C998" s="39" t="str">
        <f>+_xlfn.XLOOKUP(A998,Hoja3!$C$3:$C$1124,Hoja3!$B$3:$B$1124)</f>
        <v>CUNDINAMARCA</v>
      </c>
      <c r="D998" s="40" t="str">
        <f t="shared" si="31"/>
        <v>793</v>
      </c>
      <c r="E998" s="39" t="str">
        <f>+_xlfn.XLOOKUP(A998,Hoja3!$C$3:$C$1124,Hoja3!$D$3:$D$1124)</f>
        <v>TAUSA</v>
      </c>
      <c r="F998" s="41">
        <v>44013</v>
      </c>
    </row>
    <row r="999" spans="1:6" x14ac:dyDescent="0.25">
      <c r="A999" s="37" t="s">
        <v>133</v>
      </c>
      <c r="B999" s="38" t="str">
        <f t="shared" si="30"/>
        <v>81</v>
      </c>
      <c r="C999" s="39" t="str">
        <f>+_xlfn.XLOOKUP(A999,Hoja3!$C$3:$C$1124,Hoja3!$B$3:$B$1124)</f>
        <v>ARAUCA</v>
      </c>
      <c r="D999" s="40" t="str">
        <f t="shared" si="31"/>
        <v>794</v>
      </c>
      <c r="E999" s="39" t="str">
        <f>+_xlfn.XLOOKUP(A999,Hoja3!$C$3:$C$1124,Hoja3!$D$3:$D$1124)</f>
        <v>TAME</v>
      </c>
      <c r="F999" s="41">
        <v>43979</v>
      </c>
    </row>
    <row r="1000" spans="1:6" x14ac:dyDescent="0.25">
      <c r="A1000" s="37" t="s">
        <v>570</v>
      </c>
      <c r="B1000" s="38" t="str">
        <f t="shared" si="30"/>
        <v>25</v>
      </c>
      <c r="C1000" s="39" t="str">
        <f>+_xlfn.XLOOKUP(A1000,Hoja3!$C$3:$C$1124,Hoja3!$B$3:$B$1124)</f>
        <v>CUNDINAMARCA</v>
      </c>
      <c r="D1000" s="40" t="str">
        <f t="shared" si="31"/>
        <v>797</v>
      </c>
      <c r="E1000" s="39" t="str">
        <f>+_xlfn.XLOOKUP(A1000,Hoja3!$C$3:$C$1124,Hoja3!$D$3:$D$1124)</f>
        <v>TENA</v>
      </c>
      <c r="F1000" s="41">
        <v>43966</v>
      </c>
    </row>
    <row r="1001" spans="1:6" x14ac:dyDescent="0.25">
      <c r="A1001" s="37" t="s">
        <v>626</v>
      </c>
      <c r="B1001" s="38" t="str">
        <f t="shared" si="30"/>
        <v>41</v>
      </c>
      <c r="C1001" s="39" t="str">
        <f>+_xlfn.XLOOKUP(A1001,Hoja3!$C$3:$C$1124,Hoja3!$B$3:$B$1124)</f>
        <v>HUILA</v>
      </c>
      <c r="D1001" s="40" t="str">
        <f t="shared" si="31"/>
        <v>797</v>
      </c>
      <c r="E1001" s="39" t="str">
        <f>+_xlfn.XLOOKUP(A1001,Hoja3!$C$3:$C$1124,Hoja3!$D$3:$D$1124)</f>
        <v>TESALIA</v>
      </c>
      <c r="F1001" s="41">
        <v>44050</v>
      </c>
    </row>
    <row r="1002" spans="1:6" x14ac:dyDescent="0.25">
      <c r="A1002" s="37" t="s">
        <v>5</v>
      </c>
      <c r="B1002" s="38" t="str">
        <f t="shared" si="30"/>
        <v>91</v>
      </c>
      <c r="C1002" s="39" t="str">
        <f>+_xlfn.XLOOKUP(A1002,Hoja3!$C$3:$C$1124,Hoja3!$B$3:$B$1124)</f>
        <v>AMAZONAS</v>
      </c>
      <c r="D1002" s="40" t="str">
        <f t="shared" si="31"/>
        <v>798</v>
      </c>
      <c r="E1002" s="39" t="str">
        <f>+_xlfn.XLOOKUP(A1002,Hoja3!$C$3:$C$1124,Hoja3!$D$3:$D$1124)</f>
        <v>TARAPACÁ</v>
      </c>
      <c r="F1002" s="41">
        <v>44003</v>
      </c>
    </row>
    <row r="1003" spans="1:6" x14ac:dyDescent="0.25">
      <c r="A1003" s="37" t="s">
        <v>289</v>
      </c>
      <c r="B1003" s="38" t="str">
        <f t="shared" si="30"/>
        <v>15</v>
      </c>
      <c r="C1003" s="39" t="str">
        <f>+_xlfn.XLOOKUP(A1003,Hoja3!$C$3:$C$1124,Hoja3!$B$3:$B$1124)</f>
        <v>BOYACÁ</v>
      </c>
      <c r="D1003" s="40" t="str">
        <f t="shared" si="31"/>
        <v>798</v>
      </c>
      <c r="E1003" s="39" t="str">
        <f>+_xlfn.XLOOKUP(A1003,Hoja3!$C$3:$C$1124,Hoja3!$D$3:$D$1124)</f>
        <v>TENZA</v>
      </c>
      <c r="F1003" s="41">
        <v>43919</v>
      </c>
    </row>
    <row r="1004" spans="1:6" x14ac:dyDescent="0.25">
      <c r="A1004" s="37" t="s">
        <v>673</v>
      </c>
      <c r="B1004" s="38" t="str">
        <f t="shared" si="30"/>
        <v>47</v>
      </c>
      <c r="C1004" s="39" t="str">
        <f>+_xlfn.XLOOKUP(A1004,Hoja3!$C$3:$C$1124,Hoja3!$B$3:$B$1124)</f>
        <v>MAGDALENA</v>
      </c>
      <c r="D1004" s="40" t="str">
        <f t="shared" si="31"/>
        <v>798</v>
      </c>
      <c r="E1004" s="39" t="str">
        <f>+_xlfn.XLOOKUP(A1004,Hoja3!$C$3:$C$1124,Hoja3!$D$3:$D$1124)</f>
        <v>TENERIFE</v>
      </c>
      <c r="F1004" s="41">
        <v>44035</v>
      </c>
    </row>
    <row r="1005" spans="1:6" x14ac:dyDescent="0.25">
      <c r="A1005" s="37" t="s">
        <v>627</v>
      </c>
      <c r="B1005" s="38" t="str">
        <f t="shared" si="30"/>
        <v>41</v>
      </c>
      <c r="C1005" s="39" t="str">
        <f>+_xlfn.XLOOKUP(A1005,Hoja3!$C$3:$C$1124,Hoja3!$B$3:$B$1124)</f>
        <v>HUILA</v>
      </c>
      <c r="D1005" s="40" t="str">
        <f t="shared" si="31"/>
        <v>799</v>
      </c>
      <c r="E1005" s="39" t="str">
        <f>+_xlfn.XLOOKUP(A1005,Hoja3!$C$3:$C$1124,Hoja3!$D$3:$D$1124)</f>
        <v>TELLO</v>
      </c>
      <c r="F1005" s="41">
        <v>43982</v>
      </c>
    </row>
    <row r="1006" spans="1:6" x14ac:dyDescent="0.25">
      <c r="A1006" s="37" t="s">
        <v>571</v>
      </c>
      <c r="B1006" s="38" t="str">
        <f t="shared" si="30"/>
        <v>25</v>
      </c>
      <c r="C1006" s="39" t="str">
        <f>+_xlfn.XLOOKUP(A1006,Hoja3!$C$3:$C$1124,Hoja3!$B$3:$B$1124)</f>
        <v>CUNDINAMARCA</v>
      </c>
      <c r="D1006" s="40" t="str">
        <f t="shared" si="31"/>
        <v>799</v>
      </c>
      <c r="E1006" s="39" t="str">
        <f>+_xlfn.XLOOKUP(A1006,Hoja3!$C$3:$C$1124,Hoja3!$D$3:$D$1124)</f>
        <v>TENJO</v>
      </c>
      <c r="F1006" s="41">
        <v>43920</v>
      </c>
    </row>
    <row r="1007" spans="1:6" x14ac:dyDescent="0.25">
      <c r="A1007" s="37" t="s">
        <v>450</v>
      </c>
      <c r="B1007" s="38" t="str">
        <f t="shared" si="30"/>
        <v>27</v>
      </c>
      <c r="C1007" s="39" t="str">
        <f>+_xlfn.XLOOKUP(A1007,Hoja3!$C$3:$C$1124,Hoja3!$B$3:$B$1124)</f>
        <v>CHOCÓ</v>
      </c>
      <c r="D1007" s="40" t="str">
        <f t="shared" si="31"/>
        <v>800</v>
      </c>
      <c r="E1007" s="39" t="str">
        <f>+_xlfn.XLOOKUP(A1007,Hoja3!$C$3:$C$1124,Hoja3!$D$3:$D$1124)</f>
        <v>UNGUÍA</v>
      </c>
      <c r="F1007" s="41">
        <v>43969</v>
      </c>
    </row>
    <row r="1008" spans="1:6" x14ac:dyDescent="0.25">
      <c r="A1008" s="37" t="s">
        <v>799</v>
      </c>
      <c r="B1008" s="38" t="str">
        <f t="shared" si="30"/>
        <v>54</v>
      </c>
      <c r="C1008" s="39" t="str">
        <f>+_xlfn.XLOOKUP(A1008,Hoja3!$C$3:$C$1124,Hoja3!$B$3:$B$1124)</f>
        <v>NORTE DE SANTANDER</v>
      </c>
      <c r="D1008" s="40" t="str">
        <f t="shared" si="31"/>
        <v>800</v>
      </c>
      <c r="E1008" s="39" t="str">
        <f>+_xlfn.XLOOKUP(A1008,Hoja3!$C$3:$C$1124,Hoja3!$D$3:$D$1124)</f>
        <v>TEORAMA</v>
      </c>
      <c r="F1008" s="41">
        <v>44011</v>
      </c>
    </row>
    <row r="1009" spans="1:6" x14ac:dyDescent="0.25">
      <c r="A1009" s="37" t="s">
        <v>628</v>
      </c>
      <c r="B1009" s="38" t="str">
        <f t="shared" si="30"/>
        <v>41</v>
      </c>
      <c r="C1009" s="39" t="str">
        <f>+_xlfn.XLOOKUP(A1009,Hoja3!$C$3:$C$1124,Hoja3!$B$3:$B$1124)</f>
        <v>HUILA</v>
      </c>
      <c r="D1009" s="40" t="str">
        <f t="shared" si="31"/>
        <v>801</v>
      </c>
      <c r="E1009" s="39" t="str">
        <f>+_xlfn.XLOOKUP(A1009,Hoja3!$C$3:$C$1124,Hoja3!$D$3:$D$1124)</f>
        <v>TERUEL</v>
      </c>
      <c r="F1009" s="41">
        <v>44036</v>
      </c>
    </row>
    <row r="1010" spans="1:6" x14ac:dyDescent="0.25">
      <c r="A1010" s="37" t="s">
        <v>290</v>
      </c>
      <c r="B1010" s="38" t="str">
        <f t="shared" si="30"/>
        <v>15</v>
      </c>
      <c r="C1010" s="39" t="str">
        <f>+_xlfn.XLOOKUP(A1010,Hoja3!$C$3:$C$1124,Hoja3!$B$3:$B$1124)</f>
        <v>BOYACÁ</v>
      </c>
      <c r="D1010" s="40" t="str">
        <f t="shared" si="31"/>
        <v>804</v>
      </c>
      <c r="E1010" s="39" t="str">
        <f>+_xlfn.XLOOKUP(A1010,Hoja3!$C$3:$C$1124,Hoja3!$D$3:$D$1124)</f>
        <v>TIBANÁ</v>
      </c>
      <c r="F1010" s="41">
        <v>44008</v>
      </c>
    </row>
    <row r="1011" spans="1:6" x14ac:dyDescent="0.25">
      <c r="A1011" s="37" t="s">
        <v>572</v>
      </c>
      <c r="B1011" s="38" t="str">
        <f t="shared" si="30"/>
        <v>25</v>
      </c>
      <c r="C1011" s="39" t="str">
        <f>+_xlfn.XLOOKUP(A1011,Hoja3!$C$3:$C$1124,Hoja3!$B$3:$B$1124)</f>
        <v>CUNDINAMARCA</v>
      </c>
      <c r="D1011" s="40" t="str">
        <f t="shared" si="31"/>
        <v>805</v>
      </c>
      <c r="E1011" s="39" t="str">
        <f>+_xlfn.XLOOKUP(A1011,Hoja3!$C$3:$C$1124,Hoja3!$D$3:$D$1124)</f>
        <v>TIBACUY</v>
      </c>
      <c r="F1011" s="41">
        <v>44081</v>
      </c>
    </row>
    <row r="1012" spans="1:6" x14ac:dyDescent="0.25">
      <c r="A1012" s="37" t="s">
        <v>291</v>
      </c>
      <c r="B1012" s="38" t="str">
        <f t="shared" si="30"/>
        <v>15</v>
      </c>
      <c r="C1012" s="39" t="str">
        <f>+_xlfn.XLOOKUP(A1012,Hoja3!$C$3:$C$1124,Hoja3!$B$3:$B$1124)</f>
        <v>BOYACÁ</v>
      </c>
      <c r="D1012" s="40" t="str">
        <f t="shared" si="31"/>
        <v>806</v>
      </c>
      <c r="E1012" s="39" t="str">
        <f>+_xlfn.XLOOKUP(A1012,Hoja3!$C$3:$C$1124,Hoja3!$D$3:$D$1124)</f>
        <v>TIBASOSA</v>
      </c>
      <c r="F1012" s="41">
        <v>44014</v>
      </c>
    </row>
    <row r="1013" spans="1:6" x14ac:dyDescent="0.25">
      <c r="A1013" s="37" t="s">
        <v>396</v>
      </c>
      <c r="B1013" s="38" t="str">
        <f t="shared" si="30"/>
        <v>19</v>
      </c>
      <c r="C1013" s="39" t="str">
        <f>+_xlfn.XLOOKUP(A1013,Hoja3!$C$3:$C$1124,Hoja3!$B$3:$B$1124)</f>
        <v>CAUCA</v>
      </c>
      <c r="D1013" s="40" t="str">
        <f t="shared" si="31"/>
        <v>807</v>
      </c>
      <c r="E1013" s="39" t="str">
        <f>+_xlfn.XLOOKUP(A1013,Hoja3!$C$3:$C$1124,Hoja3!$D$3:$D$1124)</f>
        <v>TIMBÍO</v>
      </c>
      <c r="F1013" s="41">
        <v>43918</v>
      </c>
    </row>
    <row r="1014" spans="1:6" x14ac:dyDescent="0.25">
      <c r="A1014" s="37" t="s">
        <v>479</v>
      </c>
      <c r="B1014" s="38" t="str">
        <f t="shared" si="30"/>
        <v>23</v>
      </c>
      <c r="C1014" s="39" t="str">
        <f>+_xlfn.XLOOKUP(A1014,Hoja3!$C$3:$C$1124,Hoja3!$B$3:$B$1124)</f>
        <v>CÓRDOBA</v>
      </c>
      <c r="D1014" s="40" t="str">
        <f t="shared" si="31"/>
        <v>807</v>
      </c>
      <c r="E1014" s="39" t="str">
        <f>+_xlfn.XLOOKUP(A1014,Hoja3!$C$3:$C$1124,Hoja3!$D$3:$D$1124)</f>
        <v>TIERRALTA</v>
      </c>
      <c r="F1014" s="41">
        <v>43920</v>
      </c>
    </row>
    <row r="1015" spans="1:6" x14ac:dyDescent="0.25">
      <c r="A1015" s="37" t="s">
        <v>629</v>
      </c>
      <c r="B1015" s="38" t="str">
        <f t="shared" si="30"/>
        <v>41</v>
      </c>
      <c r="C1015" s="39" t="str">
        <f>+_xlfn.XLOOKUP(A1015,Hoja3!$C$3:$C$1124,Hoja3!$B$3:$B$1124)</f>
        <v>HUILA</v>
      </c>
      <c r="D1015" s="40" t="str">
        <f t="shared" si="31"/>
        <v>807</v>
      </c>
      <c r="E1015" s="39" t="str">
        <f>+_xlfn.XLOOKUP(A1015,Hoja3!$C$3:$C$1124,Hoja3!$D$3:$D$1124)</f>
        <v>TIMANÁ</v>
      </c>
      <c r="F1015" s="41">
        <v>43925</v>
      </c>
    </row>
    <row r="1016" spans="1:6" x14ac:dyDescent="0.25">
      <c r="A1016" s="38" t="s">
        <v>2063</v>
      </c>
      <c r="B1016" s="38" t="str">
        <f t="shared" si="30"/>
        <v>25</v>
      </c>
      <c r="C1016" s="39" t="str">
        <f>+_xlfn.XLOOKUP(A1016,Hoja3!$C$3:$C$1124,Hoja3!$B$3:$B$1124)</f>
        <v>CUNDINAMARCA</v>
      </c>
      <c r="D1016" s="40" t="str">
        <f t="shared" si="31"/>
        <v>807</v>
      </c>
      <c r="E1016" s="39" t="str">
        <f>+_xlfn.XLOOKUP(A1016,Hoja3!$C$3:$C$1124,Hoja3!$D$3:$D$1124)</f>
        <v>TIBIRITA</v>
      </c>
      <c r="F1016" s="42">
        <v>45658</v>
      </c>
    </row>
    <row r="1017" spans="1:6" x14ac:dyDescent="0.25">
      <c r="A1017" s="37" t="s">
        <v>292</v>
      </c>
      <c r="B1017" s="38" t="str">
        <f t="shared" si="30"/>
        <v>15</v>
      </c>
      <c r="C1017" s="39" t="str">
        <f>+_xlfn.XLOOKUP(A1017,Hoja3!$C$3:$C$1124,Hoja3!$B$3:$B$1124)</f>
        <v>BOYACÁ</v>
      </c>
      <c r="D1017" s="40" t="str">
        <f t="shared" si="31"/>
        <v>808</v>
      </c>
      <c r="E1017" s="39" t="str">
        <f>+_xlfn.XLOOKUP(A1017,Hoja3!$C$3:$C$1124,Hoja3!$D$3:$D$1124)</f>
        <v>TINJACÁ</v>
      </c>
      <c r="F1017" s="41">
        <v>43958</v>
      </c>
    </row>
    <row r="1018" spans="1:6" x14ac:dyDescent="0.25">
      <c r="A1018" s="37" t="s">
        <v>114</v>
      </c>
      <c r="B1018" s="38" t="str">
        <f t="shared" si="30"/>
        <v>05</v>
      </c>
      <c r="C1018" s="39" t="str">
        <f>+_xlfn.XLOOKUP(A1018,Hoja3!$C$3:$C$1124,Hoja3!$B$3:$B$1124)</f>
        <v>ANTIOQUIA</v>
      </c>
      <c r="D1018" s="40" t="str">
        <f t="shared" si="31"/>
        <v>809</v>
      </c>
      <c r="E1018" s="39" t="str">
        <f>+_xlfn.XLOOKUP(A1018,Hoja3!$C$3:$C$1124,Hoja3!$D$3:$D$1124)</f>
        <v>TITIRIBÍ</v>
      </c>
      <c r="F1018" s="41">
        <v>44014</v>
      </c>
    </row>
    <row r="1019" spans="1:6" x14ac:dyDescent="0.25">
      <c r="A1019" s="37" t="s">
        <v>397</v>
      </c>
      <c r="B1019" s="38" t="str">
        <f t="shared" si="30"/>
        <v>19</v>
      </c>
      <c r="C1019" s="39" t="str">
        <f>+_xlfn.XLOOKUP(A1019,Hoja3!$C$3:$C$1124,Hoja3!$B$3:$B$1124)</f>
        <v>CAUCA</v>
      </c>
      <c r="D1019" s="40" t="str">
        <f t="shared" si="31"/>
        <v>809</v>
      </c>
      <c r="E1019" s="39" t="str">
        <f>+_xlfn.XLOOKUP(A1019,Hoja3!$C$3:$C$1124,Hoja3!$D$3:$D$1124)</f>
        <v>TIMBIQUÍ</v>
      </c>
      <c r="F1019" s="41">
        <v>43952</v>
      </c>
    </row>
    <row r="1020" spans="1:6" x14ac:dyDescent="0.25">
      <c r="A1020" s="37" t="s">
        <v>200</v>
      </c>
      <c r="B1020" s="38" t="str">
        <f t="shared" si="30"/>
        <v>13</v>
      </c>
      <c r="C1020" s="39" t="str">
        <f>+_xlfn.XLOOKUP(A1020,Hoja3!$C$3:$C$1124,Hoja3!$B$3:$B$1124)</f>
        <v>BOLÍVAR</v>
      </c>
      <c r="D1020" s="40" t="str">
        <f t="shared" si="31"/>
        <v>810</v>
      </c>
      <c r="E1020" s="39" t="str">
        <f>+_xlfn.XLOOKUP(A1020,Hoja3!$C$3:$C$1124,Hoja3!$D$3:$D$1124)</f>
        <v>TIQUISIO</v>
      </c>
      <c r="F1020" s="41">
        <v>43983</v>
      </c>
    </row>
    <row r="1021" spans="1:6" x14ac:dyDescent="0.25">
      <c r="A1021" s="37" t="s">
        <v>293</v>
      </c>
      <c r="B1021" s="38" t="str">
        <f t="shared" si="30"/>
        <v>15</v>
      </c>
      <c r="C1021" s="39" t="str">
        <f>+_xlfn.XLOOKUP(A1021,Hoja3!$C$3:$C$1124,Hoja3!$B$3:$B$1124)</f>
        <v>BOYACÁ</v>
      </c>
      <c r="D1021" s="40" t="str">
        <f t="shared" si="31"/>
        <v>810</v>
      </c>
      <c r="E1021" s="39" t="str">
        <f>+_xlfn.XLOOKUP(A1021,Hoja3!$C$3:$C$1124,Hoja3!$D$3:$D$1124)</f>
        <v>TIPACOQUE</v>
      </c>
      <c r="F1021" s="41">
        <v>43962</v>
      </c>
    </row>
    <row r="1022" spans="1:6" x14ac:dyDescent="0.25">
      <c r="A1022" s="37" t="s">
        <v>451</v>
      </c>
      <c r="B1022" s="38" t="str">
        <f t="shared" si="30"/>
        <v>27</v>
      </c>
      <c r="C1022" s="39" t="str">
        <f>+_xlfn.XLOOKUP(A1022,Hoja3!$C$3:$C$1124,Hoja3!$B$3:$B$1124)</f>
        <v>CHOCÓ</v>
      </c>
      <c r="D1022" s="40" t="str">
        <f t="shared" si="31"/>
        <v>810</v>
      </c>
      <c r="E1022" s="39" t="str">
        <f>+_xlfn.XLOOKUP(A1022,Hoja3!$C$3:$C$1124,Hoja3!$D$3:$D$1124)</f>
        <v>UNIÓN PANAMERICANA</v>
      </c>
      <c r="F1022" s="41">
        <v>43922</v>
      </c>
    </row>
    <row r="1023" spans="1:6" x14ac:dyDescent="0.25">
      <c r="A1023" s="37" t="s">
        <v>800</v>
      </c>
      <c r="B1023" s="38" t="str">
        <f t="shared" si="30"/>
        <v>54</v>
      </c>
      <c r="C1023" s="39" t="str">
        <f>+_xlfn.XLOOKUP(A1023,Hoja3!$C$3:$C$1124,Hoja3!$B$3:$B$1124)</f>
        <v>NORTE DE SANTANDER</v>
      </c>
      <c r="D1023" s="40" t="str">
        <f t="shared" si="31"/>
        <v>810</v>
      </c>
      <c r="E1023" s="39" t="str">
        <f>+_xlfn.XLOOKUP(A1023,Hoja3!$C$3:$C$1124,Hoja3!$D$3:$D$1124)</f>
        <v>TIBÚ</v>
      </c>
      <c r="F1023" s="41">
        <v>43943</v>
      </c>
    </row>
    <row r="1024" spans="1:6" x14ac:dyDescent="0.25">
      <c r="A1024" s="37" t="s">
        <v>294</v>
      </c>
      <c r="B1024" s="38" t="str">
        <f t="shared" si="30"/>
        <v>15</v>
      </c>
      <c r="C1024" s="39" t="str">
        <f>+_xlfn.XLOOKUP(A1024,Hoja3!$C$3:$C$1124,Hoja3!$B$3:$B$1124)</f>
        <v>BOYACÁ</v>
      </c>
      <c r="D1024" s="40" t="str">
        <f t="shared" si="31"/>
        <v>814</v>
      </c>
      <c r="E1024" s="39" t="str">
        <f>+_xlfn.XLOOKUP(A1024,Hoja3!$C$3:$C$1124,Hoja3!$D$3:$D$1124)</f>
        <v>TOCA</v>
      </c>
      <c r="F1024" s="41">
        <v>43977</v>
      </c>
    </row>
    <row r="1025" spans="1:6" x14ac:dyDescent="0.25">
      <c r="A1025" s="37" t="s">
        <v>480</v>
      </c>
      <c r="B1025" s="38" t="str">
        <f t="shared" si="30"/>
        <v>23</v>
      </c>
      <c r="C1025" s="39" t="str">
        <f>+_xlfn.XLOOKUP(A1025,Hoja3!$C$3:$C$1124,Hoja3!$B$3:$B$1124)</f>
        <v>CÓRDOBA</v>
      </c>
      <c r="D1025" s="40" t="str">
        <f t="shared" si="31"/>
        <v>815</v>
      </c>
      <c r="E1025" s="39" t="str">
        <f>+_xlfn.XLOOKUP(A1025,Hoja3!$C$3:$C$1124,Hoja3!$D$3:$D$1124)</f>
        <v>TUCHÍN</v>
      </c>
      <c r="F1025" s="41">
        <v>43977</v>
      </c>
    </row>
    <row r="1026" spans="1:6" x14ac:dyDescent="0.25">
      <c r="A1026" s="37" t="s">
        <v>573</v>
      </c>
      <c r="B1026" s="38" t="str">
        <f t="shared" ref="B1026:B1089" si="32">MID(A1026,1,2)</f>
        <v>25</v>
      </c>
      <c r="C1026" s="39" t="str">
        <f>+_xlfn.XLOOKUP(A1026,Hoja3!$C$3:$C$1124,Hoja3!$B$3:$B$1124)</f>
        <v>CUNDINAMARCA</v>
      </c>
      <c r="D1026" s="40" t="str">
        <f t="shared" ref="D1026:D1089" si="33">MID(A1026,3,3)</f>
        <v>815</v>
      </c>
      <c r="E1026" s="39" t="str">
        <f>+_xlfn.XLOOKUP(A1026,Hoja3!$C$3:$C$1124,Hoja3!$D$3:$D$1124)</f>
        <v>TOCAIMA</v>
      </c>
      <c r="F1026" s="41">
        <v>43981</v>
      </c>
    </row>
    <row r="1027" spans="1:6" x14ac:dyDescent="0.25">
      <c r="A1027" s="37" t="s">
        <v>295</v>
      </c>
      <c r="B1027" s="38" t="str">
        <f t="shared" si="32"/>
        <v>15</v>
      </c>
      <c r="C1027" s="39" t="str">
        <f>+_xlfn.XLOOKUP(A1027,Hoja3!$C$3:$C$1124,Hoja3!$B$3:$B$1124)</f>
        <v>BOYACÁ</v>
      </c>
      <c r="D1027" s="40" t="str">
        <f t="shared" si="33"/>
        <v>816</v>
      </c>
      <c r="E1027" s="39" t="str">
        <f>+_xlfn.XLOOKUP(A1027,Hoja3!$C$3:$C$1124,Hoja3!$D$3:$D$1124)</f>
        <v>TOGÜÍ</v>
      </c>
      <c r="F1027" s="41">
        <v>43911</v>
      </c>
    </row>
    <row r="1028" spans="1:6" x14ac:dyDescent="0.25">
      <c r="A1028" s="37" t="s">
        <v>574</v>
      </c>
      <c r="B1028" s="38" t="str">
        <f t="shared" si="32"/>
        <v>25</v>
      </c>
      <c r="C1028" s="39" t="str">
        <f>+_xlfn.XLOOKUP(A1028,Hoja3!$C$3:$C$1124,Hoja3!$B$3:$B$1124)</f>
        <v>CUNDINAMARCA</v>
      </c>
      <c r="D1028" s="40" t="str">
        <f t="shared" si="33"/>
        <v>817</v>
      </c>
      <c r="E1028" s="39" t="str">
        <f>+_xlfn.XLOOKUP(A1028,Hoja3!$C$3:$C$1124,Hoja3!$D$3:$D$1124)</f>
        <v>TOCANCIPÁ</v>
      </c>
      <c r="F1028" s="41">
        <v>43904</v>
      </c>
    </row>
    <row r="1029" spans="1:6" x14ac:dyDescent="0.25">
      <c r="A1029" s="37" t="s">
        <v>115</v>
      </c>
      <c r="B1029" s="38" t="str">
        <f t="shared" si="32"/>
        <v>05</v>
      </c>
      <c r="C1029" s="39" t="str">
        <f>+_xlfn.XLOOKUP(A1029,Hoja3!$C$3:$C$1124,Hoja3!$B$3:$B$1124)</f>
        <v>ANTIOQUIA</v>
      </c>
      <c r="D1029" s="40" t="str">
        <f t="shared" si="33"/>
        <v>819</v>
      </c>
      <c r="E1029" s="39" t="str">
        <f>+_xlfn.XLOOKUP(A1029,Hoja3!$C$3:$C$1124,Hoja3!$D$3:$D$1124)</f>
        <v>TOLEDO</v>
      </c>
      <c r="F1029" s="41">
        <v>44023</v>
      </c>
    </row>
    <row r="1030" spans="1:6" x14ac:dyDescent="0.25">
      <c r="A1030" s="37" t="s">
        <v>296</v>
      </c>
      <c r="B1030" s="38" t="str">
        <f t="shared" si="32"/>
        <v>15</v>
      </c>
      <c r="C1030" s="39" t="str">
        <f>+_xlfn.XLOOKUP(A1030,Hoja3!$C$3:$C$1124,Hoja3!$B$3:$B$1124)</f>
        <v>BOYACÁ</v>
      </c>
      <c r="D1030" s="40" t="str">
        <f t="shared" si="33"/>
        <v>820</v>
      </c>
      <c r="E1030" s="39" t="str">
        <f>+_xlfn.XLOOKUP(A1030,Hoja3!$C$3:$C$1124,Hoja3!$D$3:$D$1124)</f>
        <v>TÓPAGA</v>
      </c>
      <c r="F1030" s="41">
        <v>44048</v>
      </c>
    </row>
    <row r="1031" spans="1:6" x14ac:dyDescent="0.25">
      <c r="A1031" s="37" t="s">
        <v>801</v>
      </c>
      <c r="B1031" s="38" t="str">
        <f t="shared" si="32"/>
        <v>54</v>
      </c>
      <c r="C1031" s="39" t="str">
        <f>+_xlfn.XLOOKUP(A1031,Hoja3!$C$3:$C$1124,Hoja3!$B$3:$B$1124)</f>
        <v>NORTE DE SANTANDER</v>
      </c>
      <c r="D1031" s="40" t="str">
        <f t="shared" si="33"/>
        <v>820</v>
      </c>
      <c r="E1031" s="39" t="str">
        <f>+_xlfn.XLOOKUP(A1031,Hoja3!$C$3:$C$1124,Hoja3!$D$3:$D$1124)</f>
        <v>TOLEDO</v>
      </c>
      <c r="F1031" s="41">
        <v>43943</v>
      </c>
    </row>
    <row r="1032" spans="1:6" x14ac:dyDescent="0.25">
      <c r="A1032" s="37" t="s">
        <v>913</v>
      </c>
      <c r="B1032" s="38" t="str">
        <f t="shared" si="32"/>
        <v>68</v>
      </c>
      <c r="C1032" s="39" t="str">
        <f>+_xlfn.XLOOKUP(A1032,Hoja3!$C$3:$C$1124,Hoja3!$B$3:$B$1124)</f>
        <v>SANTANDER</v>
      </c>
      <c r="D1032" s="40" t="str">
        <f t="shared" si="33"/>
        <v>820</v>
      </c>
      <c r="E1032" s="39" t="str">
        <f>+_xlfn.XLOOKUP(A1032,Hoja3!$C$3:$C$1124,Hoja3!$D$3:$D$1124)</f>
        <v>TONA</v>
      </c>
      <c r="F1032" s="41">
        <v>44031</v>
      </c>
    </row>
    <row r="1033" spans="1:6" x14ac:dyDescent="0.25">
      <c r="A1033" s="37" t="s">
        <v>943</v>
      </c>
      <c r="B1033" s="38" t="str">
        <f t="shared" si="32"/>
        <v>70</v>
      </c>
      <c r="C1033" s="39" t="str">
        <f>+_xlfn.XLOOKUP(A1033,Hoja3!$C$3:$C$1124,Hoja3!$B$3:$B$1124)</f>
        <v>SUCRE</v>
      </c>
      <c r="D1033" s="40" t="str">
        <f t="shared" si="33"/>
        <v>820</v>
      </c>
      <c r="E1033" s="39" t="str">
        <f>+_xlfn.XLOOKUP(A1033,Hoja3!$C$3:$C$1124,Hoja3!$D$3:$D$1124)</f>
        <v>SANTIAGO DE TOLÚ</v>
      </c>
      <c r="F1033" s="41">
        <v>43984</v>
      </c>
    </row>
    <row r="1034" spans="1:6" x14ac:dyDescent="0.25">
      <c r="A1034" s="37" t="s">
        <v>398</v>
      </c>
      <c r="B1034" s="38" t="str">
        <f t="shared" si="32"/>
        <v>19</v>
      </c>
      <c r="C1034" s="39" t="str">
        <f>+_xlfn.XLOOKUP(A1034,Hoja3!$C$3:$C$1124,Hoja3!$B$3:$B$1124)</f>
        <v>CAUCA</v>
      </c>
      <c r="D1034" s="40" t="str">
        <f t="shared" si="33"/>
        <v>821</v>
      </c>
      <c r="E1034" s="39" t="str">
        <f>+_xlfn.XLOOKUP(A1034,Hoja3!$C$3:$C$1124,Hoja3!$D$3:$D$1124)</f>
        <v>TORIBÍO</v>
      </c>
      <c r="F1034" s="41">
        <v>44022</v>
      </c>
    </row>
    <row r="1035" spans="1:6" x14ac:dyDescent="0.25">
      <c r="A1035" s="37" t="s">
        <v>297</v>
      </c>
      <c r="B1035" s="38" t="str">
        <f t="shared" si="32"/>
        <v>15</v>
      </c>
      <c r="C1035" s="39" t="str">
        <f>+_xlfn.XLOOKUP(A1035,Hoja3!$C$3:$C$1124,Hoja3!$B$3:$B$1124)</f>
        <v>BOYACÁ</v>
      </c>
      <c r="D1035" s="40" t="str">
        <f t="shared" si="33"/>
        <v>822</v>
      </c>
      <c r="E1035" s="39" t="str">
        <f>+_xlfn.XLOOKUP(A1035,Hoja3!$C$3:$C$1124,Hoja3!$D$3:$D$1124)</f>
        <v>TOTA</v>
      </c>
      <c r="F1035" s="41">
        <v>44049</v>
      </c>
    </row>
    <row r="1036" spans="1:6" x14ac:dyDescent="0.25">
      <c r="A1036" s="37" t="s">
        <v>944</v>
      </c>
      <c r="B1036" s="38" t="str">
        <f t="shared" si="32"/>
        <v>70</v>
      </c>
      <c r="C1036" s="39" t="str">
        <f>+_xlfn.XLOOKUP(A1036,Hoja3!$C$3:$C$1124,Hoja3!$B$3:$B$1124)</f>
        <v>SUCRE</v>
      </c>
      <c r="D1036" s="40" t="str">
        <f t="shared" si="33"/>
        <v>823</v>
      </c>
      <c r="E1036" s="39" t="str">
        <f>+_xlfn.XLOOKUP(A1036,Hoja3!$C$3:$C$1124,Hoja3!$D$3:$D$1124)</f>
        <v>SAN JOSÉ DE TOLUVIEJO</v>
      </c>
      <c r="F1036" s="41">
        <v>43986</v>
      </c>
    </row>
    <row r="1037" spans="1:6" x14ac:dyDescent="0.25">
      <c r="A1037" s="37" t="s">
        <v>1020</v>
      </c>
      <c r="B1037" s="38" t="str">
        <f t="shared" si="32"/>
        <v>76</v>
      </c>
      <c r="C1037" s="39" t="str">
        <f>+_xlfn.XLOOKUP(A1037,Hoja3!$C$3:$C$1124,Hoja3!$B$3:$B$1124)</f>
        <v>VALLE DEL CAUCA</v>
      </c>
      <c r="D1037" s="40" t="str">
        <f t="shared" si="33"/>
        <v>823</v>
      </c>
      <c r="E1037" s="39" t="str">
        <f>+_xlfn.XLOOKUP(A1037,Hoja3!$C$3:$C$1124,Hoja3!$D$3:$D$1124)</f>
        <v>TORO</v>
      </c>
      <c r="F1037" s="41">
        <v>44024</v>
      </c>
    </row>
    <row r="1038" spans="1:6" x14ac:dyDescent="0.25">
      <c r="A1038" s="38" t="s">
        <v>2091</v>
      </c>
      <c r="B1038" s="38" t="str">
        <f t="shared" si="32"/>
        <v>25</v>
      </c>
      <c r="C1038" s="39" t="str">
        <f>+_xlfn.XLOOKUP(A1038,Hoja3!$C$3:$C$1124,Hoja3!$B$3:$B$1124)</f>
        <v>CUNDINAMARCA</v>
      </c>
      <c r="D1038" s="40" t="str">
        <f t="shared" si="33"/>
        <v>823</v>
      </c>
      <c r="E1038" s="39" t="str">
        <f>+_xlfn.XLOOKUP(A1038,Hoja3!$C$3:$C$1124,Hoja3!$D$3:$D$1124)</f>
        <v>TOPAIPÍ</v>
      </c>
      <c r="F1038" s="42">
        <v>45658</v>
      </c>
    </row>
    <row r="1039" spans="1:6" x14ac:dyDescent="0.25">
      <c r="A1039" s="37" t="s">
        <v>399</v>
      </c>
      <c r="B1039" s="38" t="str">
        <f t="shared" si="32"/>
        <v>19</v>
      </c>
      <c r="C1039" s="39" t="str">
        <f>+_xlfn.XLOOKUP(A1039,Hoja3!$C$3:$C$1124,Hoja3!$B$3:$B$1124)</f>
        <v>CAUCA</v>
      </c>
      <c r="D1039" s="40" t="str">
        <f t="shared" si="33"/>
        <v>824</v>
      </c>
      <c r="E1039" s="39" t="str">
        <f>+_xlfn.XLOOKUP(A1039,Hoja3!$C$3:$C$1124,Hoja3!$D$3:$D$1124)</f>
        <v>TOTORÓ</v>
      </c>
      <c r="F1039" s="41">
        <v>43951</v>
      </c>
    </row>
    <row r="1040" spans="1:6" x14ac:dyDescent="0.25">
      <c r="A1040" s="37" t="s">
        <v>1021</v>
      </c>
      <c r="B1040" s="38" t="str">
        <f t="shared" si="32"/>
        <v>76</v>
      </c>
      <c r="C1040" s="39" t="str">
        <f>+_xlfn.XLOOKUP(A1040,Hoja3!$C$3:$C$1124,Hoja3!$B$3:$B$1124)</f>
        <v>VALLE DEL CAUCA</v>
      </c>
      <c r="D1040" s="40" t="str">
        <f t="shared" si="33"/>
        <v>828</v>
      </c>
      <c r="E1040" s="39" t="str">
        <f>+_xlfn.XLOOKUP(A1040,Hoja3!$C$3:$C$1124,Hoja3!$D$3:$D$1124)</f>
        <v>TRUJILLO</v>
      </c>
      <c r="F1040" s="41">
        <v>43906</v>
      </c>
    </row>
    <row r="1041" spans="1:6" x14ac:dyDescent="0.25">
      <c r="A1041" s="37" t="s">
        <v>156</v>
      </c>
      <c r="B1041" s="38" t="str">
        <f t="shared" si="32"/>
        <v>08</v>
      </c>
      <c r="C1041" s="39" t="str">
        <f>+_xlfn.XLOOKUP(A1041,Hoja3!$C$3:$C$1124,Hoja3!$B$3:$B$1124)</f>
        <v>ATLÁNTICO</v>
      </c>
      <c r="D1041" s="40" t="str">
        <f t="shared" si="33"/>
        <v>832</v>
      </c>
      <c r="E1041" s="39" t="str">
        <f>+_xlfn.XLOOKUP(A1041,Hoja3!$C$3:$C$1124,Hoja3!$D$3:$D$1124)</f>
        <v>TUBARÁ</v>
      </c>
      <c r="F1041" s="41">
        <v>43961</v>
      </c>
    </row>
    <row r="1042" spans="1:6" x14ac:dyDescent="0.25">
      <c r="A1042" s="37" t="s">
        <v>298</v>
      </c>
      <c r="B1042" s="38" t="str">
        <f t="shared" si="32"/>
        <v>15</v>
      </c>
      <c r="C1042" s="39" t="str">
        <f>+_xlfn.XLOOKUP(A1042,Hoja3!$C$3:$C$1124,Hoja3!$B$3:$B$1124)</f>
        <v>BOYACÁ</v>
      </c>
      <c r="D1042" s="40" t="str">
        <f t="shared" si="33"/>
        <v>832</v>
      </c>
      <c r="E1042" s="39" t="str">
        <f>+_xlfn.XLOOKUP(A1042,Hoja3!$C$3:$C$1124,Hoja3!$D$3:$D$1124)</f>
        <v>TUNUNGUÁ</v>
      </c>
      <c r="F1042" s="41">
        <v>44069</v>
      </c>
    </row>
    <row r="1043" spans="1:6" x14ac:dyDescent="0.25">
      <c r="A1043" s="37" t="s">
        <v>2021</v>
      </c>
      <c r="B1043" s="38" t="str">
        <f t="shared" si="32"/>
        <v>76</v>
      </c>
      <c r="C1043" s="39" t="str">
        <f>+_xlfn.XLOOKUP(A1043,Hoja3!$C$3:$C$1124,Hoja3!$B$3:$B$1124)</f>
        <v>VALLE DEL CAUCA</v>
      </c>
      <c r="D1043" s="40" t="str">
        <f t="shared" si="33"/>
        <v>834</v>
      </c>
      <c r="E1043" s="39" t="str">
        <f>+_xlfn.XLOOKUP(A1043,Hoja3!$C$3:$C$1124,Hoja3!$D$3:$D$1124)</f>
        <v>TULUÁ</v>
      </c>
      <c r="F1043" s="41">
        <v>43899</v>
      </c>
    </row>
    <row r="1044" spans="1:6" x14ac:dyDescent="0.25">
      <c r="A1044" s="37" t="s">
        <v>299</v>
      </c>
      <c r="B1044" s="38" t="str">
        <f t="shared" si="32"/>
        <v>15</v>
      </c>
      <c r="C1044" s="39" t="str">
        <f>+_xlfn.XLOOKUP(A1044,Hoja3!$C$3:$C$1124,Hoja3!$B$3:$B$1124)</f>
        <v>BOYACÁ</v>
      </c>
      <c r="D1044" s="40" t="str">
        <f t="shared" si="33"/>
        <v>835</v>
      </c>
      <c r="E1044" s="39" t="str">
        <f>+_xlfn.XLOOKUP(A1044,Hoja3!$C$3:$C$1124,Hoja3!$D$3:$D$1124)</f>
        <v>TURMEQUÉ</v>
      </c>
      <c r="F1044" s="41">
        <v>43948</v>
      </c>
    </row>
    <row r="1045" spans="1:6" x14ac:dyDescent="0.25">
      <c r="A1045" s="37" t="s">
        <v>761</v>
      </c>
      <c r="B1045" s="38" t="str">
        <f t="shared" si="32"/>
        <v>52</v>
      </c>
      <c r="C1045" s="39" t="str">
        <f>+_xlfn.XLOOKUP(A1045,Hoja3!$C$3:$C$1124,Hoja3!$B$3:$B$1124)</f>
        <v>NARIÑO</v>
      </c>
      <c r="D1045" s="40" t="str">
        <f t="shared" si="33"/>
        <v>835</v>
      </c>
      <c r="E1045" s="39" t="str">
        <f>+_xlfn.XLOOKUP(A1045,Hoja3!$C$3:$C$1124,Hoja3!$D$3:$D$1124)</f>
        <v>SAN ANDRÉS DE TUMACO</v>
      </c>
      <c r="F1045" s="41">
        <v>43910</v>
      </c>
    </row>
    <row r="1046" spans="1:6" x14ac:dyDescent="0.25">
      <c r="A1046" s="37" t="s">
        <v>201</v>
      </c>
      <c r="B1046" s="38" t="str">
        <f t="shared" si="32"/>
        <v>13</v>
      </c>
      <c r="C1046" s="39" t="str">
        <f>+_xlfn.XLOOKUP(A1046,Hoja3!$C$3:$C$1124,Hoja3!$B$3:$B$1124)</f>
        <v>BOLÍVAR</v>
      </c>
      <c r="D1046" s="40" t="str">
        <f t="shared" si="33"/>
        <v>836</v>
      </c>
      <c r="E1046" s="39" t="str">
        <f>+_xlfn.XLOOKUP(A1046,Hoja3!$C$3:$C$1124,Hoja3!$D$3:$D$1124)</f>
        <v>TURBACO</v>
      </c>
      <c r="F1046" s="41">
        <v>43905</v>
      </c>
    </row>
    <row r="1047" spans="1:6" x14ac:dyDescent="0.25">
      <c r="A1047" s="37" t="s">
        <v>116</v>
      </c>
      <c r="B1047" s="38" t="str">
        <f t="shared" si="32"/>
        <v>05</v>
      </c>
      <c r="C1047" s="39" t="str">
        <f>+_xlfn.XLOOKUP(A1047,Hoja3!$C$3:$C$1124,Hoja3!$B$3:$B$1124)</f>
        <v>ANTIOQUIA</v>
      </c>
      <c r="D1047" s="40" t="str">
        <f t="shared" si="33"/>
        <v>837</v>
      </c>
      <c r="E1047" s="39" t="str">
        <f>+_xlfn.XLOOKUP(A1047,Hoja3!$C$3:$C$1124,Hoja3!$D$3:$D$1124)</f>
        <v>TURBO</v>
      </c>
      <c r="F1047" s="41">
        <v>43960</v>
      </c>
    </row>
    <row r="1048" spans="1:6" x14ac:dyDescent="0.25">
      <c r="A1048" s="37" t="s">
        <v>300</v>
      </c>
      <c r="B1048" s="38" t="str">
        <f t="shared" si="32"/>
        <v>15</v>
      </c>
      <c r="C1048" s="39" t="str">
        <f>+_xlfn.XLOOKUP(A1048,Hoja3!$C$3:$C$1124,Hoja3!$B$3:$B$1124)</f>
        <v>BOYACÁ</v>
      </c>
      <c r="D1048" s="40" t="str">
        <f t="shared" si="33"/>
        <v>837</v>
      </c>
      <c r="E1048" s="39" t="str">
        <f>+_xlfn.XLOOKUP(A1048,Hoja3!$C$3:$C$1124,Hoja3!$D$3:$D$1124)</f>
        <v>TUTA</v>
      </c>
      <c r="F1048" s="41">
        <v>44006</v>
      </c>
    </row>
    <row r="1049" spans="1:6" x14ac:dyDescent="0.25">
      <c r="A1049" s="37" t="s">
        <v>202</v>
      </c>
      <c r="B1049" s="38" t="str">
        <f t="shared" si="32"/>
        <v>13</v>
      </c>
      <c r="C1049" s="39" t="str">
        <f>+_xlfn.XLOOKUP(A1049,Hoja3!$C$3:$C$1124,Hoja3!$B$3:$B$1124)</f>
        <v>BOLÍVAR</v>
      </c>
      <c r="D1049" s="40" t="str">
        <f t="shared" si="33"/>
        <v>838</v>
      </c>
      <c r="E1049" s="39" t="str">
        <f>+_xlfn.XLOOKUP(A1049,Hoja3!$C$3:$C$1124,Hoja3!$D$3:$D$1124)</f>
        <v>TURBANÁ</v>
      </c>
      <c r="F1049" s="41">
        <v>43945</v>
      </c>
    </row>
    <row r="1050" spans="1:6" x14ac:dyDescent="0.25">
      <c r="A1050" s="37" t="s">
        <v>762</v>
      </c>
      <c r="B1050" s="38" t="str">
        <f t="shared" si="32"/>
        <v>52</v>
      </c>
      <c r="C1050" s="39" t="str">
        <f>+_xlfn.XLOOKUP(A1050,Hoja3!$C$3:$C$1124,Hoja3!$B$3:$B$1124)</f>
        <v>NARIÑO</v>
      </c>
      <c r="D1050" s="40" t="str">
        <f t="shared" si="33"/>
        <v>838</v>
      </c>
      <c r="E1050" s="39" t="str">
        <f>+_xlfn.XLOOKUP(A1050,Hoja3!$C$3:$C$1124,Hoja3!$D$3:$D$1124)</f>
        <v>TÚQUERRES</v>
      </c>
      <c r="F1050" s="41">
        <v>43933</v>
      </c>
    </row>
    <row r="1051" spans="1:6" x14ac:dyDescent="0.25">
      <c r="A1051" s="37" t="s">
        <v>575</v>
      </c>
      <c r="B1051" s="38" t="str">
        <f t="shared" si="32"/>
        <v>25</v>
      </c>
      <c r="C1051" s="39" t="str">
        <f>+_xlfn.XLOOKUP(A1051,Hoja3!$C$3:$C$1124,Hoja3!$B$3:$B$1124)</f>
        <v>CUNDINAMARCA</v>
      </c>
      <c r="D1051" s="40" t="str">
        <f t="shared" si="33"/>
        <v>839</v>
      </c>
      <c r="E1051" s="39" t="str">
        <f>+_xlfn.XLOOKUP(A1051,Hoja3!$C$3:$C$1124,Hoja3!$D$3:$D$1124)</f>
        <v>UBALÁ</v>
      </c>
      <c r="F1051" s="41">
        <v>44000</v>
      </c>
    </row>
    <row r="1052" spans="1:6" x14ac:dyDescent="0.25">
      <c r="A1052" s="38" t="s">
        <v>2057</v>
      </c>
      <c r="B1052" s="38" t="str">
        <f t="shared" si="32"/>
        <v>15</v>
      </c>
      <c r="C1052" s="39" t="str">
        <f>+_xlfn.XLOOKUP(A1052,Hoja3!$C$3:$C$1124,Hoja3!$B$3:$B$1124)</f>
        <v>BOYACÁ</v>
      </c>
      <c r="D1052" s="40" t="str">
        <f t="shared" si="33"/>
        <v>839</v>
      </c>
      <c r="E1052" s="39" t="str">
        <f>+_xlfn.XLOOKUP(A1052,Hoja3!$C$3:$C$1124,Hoja3!$D$3:$D$1124)</f>
        <v>TUTAZÁ</v>
      </c>
      <c r="F1052" s="42">
        <v>45658</v>
      </c>
    </row>
    <row r="1053" spans="1:6" x14ac:dyDescent="0.25">
      <c r="A1053" s="37" t="s">
        <v>576</v>
      </c>
      <c r="B1053" s="38" t="str">
        <f t="shared" si="32"/>
        <v>25</v>
      </c>
      <c r="C1053" s="39" t="str">
        <f>+_xlfn.XLOOKUP(A1053,Hoja3!$C$3:$C$1124,Hoja3!$B$3:$B$1124)</f>
        <v>CUNDINAMARCA</v>
      </c>
      <c r="D1053" s="40" t="str">
        <f t="shared" si="33"/>
        <v>841</v>
      </c>
      <c r="E1053" s="39" t="str">
        <f>+_xlfn.XLOOKUP(A1053,Hoja3!$C$3:$C$1124,Hoja3!$D$3:$D$1124)</f>
        <v>UBAQUE</v>
      </c>
      <c r="F1053" s="41">
        <v>43971</v>
      </c>
    </row>
    <row r="1054" spans="1:6" x14ac:dyDescent="0.25">
      <c r="A1054" s="37" t="s">
        <v>301</v>
      </c>
      <c r="B1054" s="38" t="str">
        <f t="shared" si="32"/>
        <v>15</v>
      </c>
      <c r="C1054" s="39" t="str">
        <f>+_xlfn.XLOOKUP(A1054,Hoja3!$C$3:$C$1124,Hoja3!$B$3:$B$1124)</f>
        <v>BOYACÁ</v>
      </c>
      <c r="D1054" s="40" t="str">
        <f t="shared" si="33"/>
        <v>842</v>
      </c>
      <c r="E1054" s="39" t="str">
        <f>+_xlfn.XLOOKUP(A1054,Hoja3!$C$3:$C$1124,Hoja3!$D$3:$D$1124)</f>
        <v>ÚMBITA</v>
      </c>
      <c r="F1054" s="41">
        <v>44034</v>
      </c>
    </row>
    <row r="1055" spans="1:6" x14ac:dyDescent="0.25">
      <c r="A1055" s="37" t="s">
        <v>117</v>
      </c>
      <c r="B1055" s="38" t="str">
        <f t="shared" si="32"/>
        <v>05</v>
      </c>
      <c r="C1055" s="39" t="str">
        <f>+_xlfn.XLOOKUP(A1055,Hoja3!$C$3:$C$1124,Hoja3!$B$3:$B$1124)</f>
        <v>ANTIOQUIA</v>
      </c>
      <c r="D1055" s="40" t="str">
        <f t="shared" si="33"/>
        <v>842</v>
      </c>
      <c r="E1055" s="39" t="str">
        <f>+_xlfn.XLOOKUP(A1055,Hoja3!$C$3:$C$1124,Hoja3!$D$3:$D$1124)</f>
        <v>URAMITA</v>
      </c>
      <c r="F1055" s="41">
        <v>44017</v>
      </c>
    </row>
    <row r="1056" spans="1:6" x14ac:dyDescent="0.25">
      <c r="A1056" s="37" t="s">
        <v>577</v>
      </c>
      <c r="B1056" s="38" t="str">
        <f t="shared" si="32"/>
        <v>25</v>
      </c>
      <c r="C1056" s="39" t="str">
        <f>+_xlfn.XLOOKUP(A1056,Hoja3!$C$3:$C$1124,Hoja3!$B$3:$B$1124)</f>
        <v>CUNDINAMARCA</v>
      </c>
      <c r="D1056" s="40" t="str">
        <f t="shared" si="33"/>
        <v>843</v>
      </c>
      <c r="E1056" s="39" t="str">
        <f>+_xlfn.XLOOKUP(A1056,Hoja3!$C$3:$C$1124,Hoja3!$D$3:$D$1124)</f>
        <v>VILLA DE SAN DIEGO DE UBATÉ</v>
      </c>
      <c r="F1056" s="41">
        <v>43918</v>
      </c>
    </row>
    <row r="1057" spans="1:6" x14ac:dyDescent="0.25">
      <c r="A1057" s="37" t="s">
        <v>400</v>
      </c>
      <c r="B1057" s="38" t="str">
        <f t="shared" si="32"/>
        <v>19</v>
      </c>
      <c r="C1057" s="39" t="str">
        <f>+_xlfn.XLOOKUP(A1057,Hoja3!$C$3:$C$1124,Hoja3!$B$3:$B$1124)</f>
        <v>CAUCA</v>
      </c>
      <c r="D1057" s="40" t="str">
        <f t="shared" si="33"/>
        <v>845</v>
      </c>
      <c r="E1057" s="39" t="str">
        <f>+_xlfn.XLOOKUP(A1057,Hoja3!$C$3:$C$1124,Hoja3!$D$3:$D$1124)</f>
        <v>VILLA RICA</v>
      </c>
      <c r="F1057" s="41">
        <v>43939</v>
      </c>
    </row>
    <row r="1058" spans="1:6" x14ac:dyDescent="0.25">
      <c r="A1058" s="37" t="s">
        <v>578</v>
      </c>
      <c r="B1058" s="38" t="str">
        <f t="shared" si="32"/>
        <v>25</v>
      </c>
      <c r="C1058" s="39" t="str">
        <f>+_xlfn.XLOOKUP(A1058,Hoja3!$C$3:$C$1124,Hoja3!$B$3:$B$1124)</f>
        <v>CUNDINAMARCA</v>
      </c>
      <c r="D1058" s="40" t="str">
        <f t="shared" si="33"/>
        <v>845</v>
      </c>
      <c r="E1058" s="39" t="str">
        <f>+_xlfn.XLOOKUP(A1058,Hoja3!$C$3:$C$1124,Hoja3!$D$3:$D$1124)</f>
        <v>UNE</v>
      </c>
      <c r="F1058" s="41">
        <v>43947</v>
      </c>
    </row>
    <row r="1059" spans="1:6" x14ac:dyDescent="0.25">
      <c r="A1059" s="37" t="s">
        <v>1022</v>
      </c>
      <c r="B1059" s="38" t="str">
        <f t="shared" si="32"/>
        <v>76</v>
      </c>
      <c r="C1059" s="39" t="str">
        <f>+_xlfn.XLOOKUP(A1059,Hoja3!$C$3:$C$1124,Hoja3!$B$3:$B$1124)</f>
        <v>VALLE DEL CAUCA</v>
      </c>
      <c r="D1059" s="40" t="str">
        <f t="shared" si="33"/>
        <v>845</v>
      </c>
      <c r="E1059" s="39" t="str">
        <f>+_xlfn.XLOOKUP(A1059,Hoja3!$C$3:$C$1124,Hoja3!$D$3:$D$1124)</f>
        <v>ULLOA</v>
      </c>
      <c r="F1059" s="41">
        <v>43910</v>
      </c>
    </row>
    <row r="1060" spans="1:6" x14ac:dyDescent="0.25">
      <c r="A1060" s="37" t="s">
        <v>118</v>
      </c>
      <c r="B1060" s="38" t="str">
        <f t="shared" si="32"/>
        <v>05</v>
      </c>
      <c r="C1060" s="39" t="str">
        <f>+_xlfn.XLOOKUP(A1060,Hoja3!$C$3:$C$1124,Hoja3!$B$3:$B$1124)</f>
        <v>ANTIOQUIA</v>
      </c>
      <c r="D1060" s="40" t="str">
        <f t="shared" si="33"/>
        <v>847</v>
      </c>
      <c r="E1060" s="39" t="str">
        <f>+_xlfn.XLOOKUP(A1060,Hoja3!$C$3:$C$1124,Hoja3!$D$3:$D$1124)</f>
        <v>URRAO</v>
      </c>
      <c r="F1060" s="41">
        <v>44006</v>
      </c>
    </row>
    <row r="1061" spans="1:6" x14ac:dyDescent="0.25">
      <c r="A1061" s="37" t="s">
        <v>644</v>
      </c>
      <c r="B1061" s="38" t="str">
        <f t="shared" si="32"/>
        <v>44</v>
      </c>
      <c r="C1061" s="39" t="str">
        <f>+_xlfn.XLOOKUP(A1061,Hoja3!$C$3:$C$1124,Hoja3!$B$3:$B$1124)</f>
        <v>LA GUAJIRA</v>
      </c>
      <c r="D1061" s="40" t="str">
        <f t="shared" si="33"/>
        <v>847</v>
      </c>
      <c r="E1061" s="39" t="str">
        <f>+_xlfn.XLOOKUP(A1061,Hoja3!$C$3:$C$1124,Hoja3!$D$3:$D$1124)</f>
        <v>URIBIA</v>
      </c>
      <c r="F1061" s="41">
        <v>43974</v>
      </c>
    </row>
    <row r="1062" spans="1:6" x14ac:dyDescent="0.25">
      <c r="A1062" s="37" t="s">
        <v>157</v>
      </c>
      <c r="B1062" s="38" t="str">
        <f t="shared" si="32"/>
        <v>08</v>
      </c>
      <c r="C1062" s="39" t="str">
        <f>+_xlfn.XLOOKUP(A1062,Hoja3!$C$3:$C$1124,Hoja3!$B$3:$B$1124)</f>
        <v>ATLÁNTICO</v>
      </c>
      <c r="D1062" s="40" t="str">
        <f t="shared" si="33"/>
        <v>849</v>
      </c>
      <c r="E1062" s="39" t="str">
        <f>+_xlfn.XLOOKUP(A1062,Hoja3!$C$3:$C$1124,Hoja3!$D$3:$D$1124)</f>
        <v>USIACURÍ</v>
      </c>
      <c r="F1062" s="41">
        <v>43958</v>
      </c>
    </row>
    <row r="1063" spans="1:6" x14ac:dyDescent="0.25">
      <c r="A1063" s="37" t="s">
        <v>579</v>
      </c>
      <c r="B1063" s="38" t="str">
        <f t="shared" si="32"/>
        <v>25</v>
      </c>
      <c r="C1063" s="39" t="str">
        <f>+_xlfn.XLOOKUP(A1063,Hoja3!$C$3:$C$1124,Hoja3!$B$3:$B$1124)</f>
        <v>CUNDINAMARCA</v>
      </c>
      <c r="D1063" s="40" t="str">
        <f t="shared" si="33"/>
        <v>851</v>
      </c>
      <c r="E1063" s="39" t="str">
        <f>+_xlfn.XLOOKUP(A1063,Hoja3!$C$3:$C$1124,Hoja3!$D$3:$D$1124)</f>
        <v>ÚTICA</v>
      </c>
      <c r="F1063" s="41">
        <v>44026</v>
      </c>
    </row>
    <row r="1064" spans="1:6" x14ac:dyDescent="0.25">
      <c r="A1064" s="37" t="s">
        <v>119</v>
      </c>
      <c r="B1064" s="38" t="str">
        <f t="shared" si="32"/>
        <v>05</v>
      </c>
      <c r="C1064" s="39" t="str">
        <f>+_xlfn.XLOOKUP(A1064,Hoja3!$C$3:$C$1124,Hoja3!$B$3:$B$1124)</f>
        <v>ANTIOQUIA</v>
      </c>
      <c r="D1064" s="40" t="str">
        <f t="shared" si="33"/>
        <v>854</v>
      </c>
      <c r="E1064" s="39" t="str">
        <f>+_xlfn.XLOOKUP(A1064,Hoja3!$C$3:$C$1124,Hoja3!$D$3:$D$1124)</f>
        <v>VALDIVIA</v>
      </c>
      <c r="F1064" s="41">
        <v>43969</v>
      </c>
    </row>
    <row r="1065" spans="1:6" x14ac:dyDescent="0.25">
      <c r="A1065" s="37" t="s">
        <v>984</v>
      </c>
      <c r="B1065" s="38" t="str">
        <f t="shared" si="32"/>
        <v>73</v>
      </c>
      <c r="C1065" s="39" t="str">
        <f>+_xlfn.XLOOKUP(A1065,Hoja3!$C$3:$C$1124,Hoja3!$B$3:$B$1124)</f>
        <v>TOLIMA</v>
      </c>
      <c r="D1065" s="40" t="str">
        <f t="shared" si="33"/>
        <v>854</v>
      </c>
      <c r="E1065" s="39" t="str">
        <f>+_xlfn.XLOOKUP(A1065,Hoja3!$C$3:$C$1124,Hoja3!$D$3:$D$1124)</f>
        <v>VALLE DE SAN JUAN</v>
      </c>
      <c r="F1065" s="41">
        <v>44030</v>
      </c>
    </row>
    <row r="1066" spans="1:6" x14ac:dyDescent="0.25">
      <c r="A1066" s="37" t="s">
        <v>481</v>
      </c>
      <c r="B1066" s="38" t="str">
        <f t="shared" si="32"/>
        <v>23</v>
      </c>
      <c r="C1066" s="39" t="str">
        <f>+_xlfn.XLOOKUP(A1066,Hoja3!$C$3:$C$1124,Hoja3!$B$3:$B$1124)</f>
        <v>CÓRDOBA</v>
      </c>
      <c r="D1066" s="40" t="str">
        <f t="shared" si="33"/>
        <v>855</v>
      </c>
      <c r="E1066" s="39" t="str">
        <f>+_xlfn.XLOOKUP(A1066,Hoja3!$C$3:$C$1124,Hoja3!$D$3:$D$1124)</f>
        <v>VALENCIA</v>
      </c>
      <c r="F1066" s="41">
        <v>43981</v>
      </c>
    </row>
    <row r="1067" spans="1:6" x14ac:dyDescent="0.25">
      <c r="A1067" s="37" t="s">
        <v>645</v>
      </c>
      <c r="B1067" s="38" t="str">
        <f t="shared" si="32"/>
        <v>44</v>
      </c>
      <c r="C1067" s="39" t="str">
        <f>+_xlfn.XLOOKUP(A1067,Hoja3!$C$3:$C$1124,Hoja3!$B$3:$B$1124)</f>
        <v>LA GUAJIRA</v>
      </c>
      <c r="D1067" s="40" t="str">
        <f t="shared" si="33"/>
        <v>855</v>
      </c>
      <c r="E1067" s="39" t="str">
        <f>+_xlfn.XLOOKUP(A1067,Hoja3!$C$3:$C$1124,Hoja3!$D$3:$D$1124)</f>
        <v>URUMITA</v>
      </c>
      <c r="F1067" s="41">
        <v>44012</v>
      </c>
    </row>
    <row r="1068" spans="1:6" x14ac:dyDescent="0.25">
      <c r="A1068" s="37" t="s">
        <v>914</v>
      </c>
      <c r="B1068" s="38" t="str">
        <f t="shared" si="32"/>
        <v>68</v>
      </c>
      <c r="C1068" s="39" t="str">
        <f>+_xlfn.XLOOKUP(A1068,Hoja3!$C$3:$C$1124,Hoja3!$B$3:$B$1124)</f>
        <v>SANTANDER</v>
      </c>
      <c r="D1068" s="40" t="str">
        <f t="shared" si="33"/>
        <v>855</v>
      </c>
      <c r="E1068" s="39" t="str">
        <f>+_xlfn.XLOOKUP(A1068,Hoja3!$C$3:$C$1124,Hoja3!$D$3:$D$1124)</f>
        <v>VALLE DE SAN JOSÉ</v>
      </c>
      <c r="F1068" s="41">
        <v>44017</v>
      </c>
    </row>
    <row r="1069" spans="1:6" x14ac:dyDescent="0.25">
      <c r="A1069" s="37" t="s">
        <v>120</v>
      </c>
      <c r="B1069" s="38" t="str">
        <f t="shared" si="32"/>
        <v>05</v>
      </c>
      <c r="C1069" s="39" t="str">
        <f>+_xlfn.XLOOKUP(A1069,Hoja3!$C$3:$C$1124,Hoja3!$B$3:$B$1124)</f>
        <v>ANTIOQUIA</v>
      </c>
      <c r="D1069" s="40" t="str">
        <f t="shared" si="33"/>
        <v>856</v>
      </c>
      <c r="E1069" s="39" t="str">
        <f>+_xlfn.XLOOKUP(A1069,Hoja3!$C$3:$C$1124,Hoja3!$D$3:$D$1124)</f>
        <v>VALPARAÍSO</v>
      </c>
      <c r="F1069" s="41">
        <v>44008</v>
      </c>
    </row>
    <row r="1070" spans="1:6" x14ac:dyDescent="0.25">
      <c r="A1070" s="37" t="s">
        <v>121</v>
      </c>
      <c r="B1070" s="38" t="str">
        <f t="shared" si="32"/>
        <v>05</v>
      </c>
      <c r="C1070" s="39" t="str">
        <f>+_xlfn.XLOOKUP(A1070,Hoja3!$C$3:$C$1124,Hoja3!$B$3:$B$1124)</f>
        <v>ANTIOQUIA</v>
      </c>
      <c r="D1070" s="40" t="str">
        <f t="shared" si="33"/>
        <v>858</v>
      </c>
      <c r="E1070" s="39" t="str">
        <f>+_xlfn.XLOOKUP(A1070,Hoja3!$C$3:$C$1124,Hoja3!$D$3:$D$1124)</f>
        <v>VEGACHÍ</v>
      </c>
      <c r="F1070" s="41">
        <v>44056</v>
      </c>
    </row>
    <row r="1071" spans="1:6" x14ac:dyDescent="0.25">
      <c r="A1071" s="37" t="s">
        <v>347</v>
      </c>
      <c r="B1071" s="38" t="str">
        <f t="shared" si="32"/>
        <v>18</v>
      </c>
      <c r="C1071" s="39" t="str">
        <f>+_xlfn.XLOOKUP(A1071,Hoja3!$C$3:$C$1124,Hoja3!$B$3:$B$1124)</f>
        <v>CAQUETÁ</v>
      </c>
      <c r="D1071" s="40" t="str">
        <f t="shared" si="33"/>
        <v>860</v>
      </c>
      <c r="E1071" s="39" t="str">
        <f>+_xlfn.XLOOKUP(A1071,Hoja3!$C$3:$C$1124,Hoja3!$D$3:$D$1124)</f>
        <v>VALPARAÍSO</v>
      </c>
      <c r="F1071" s="41">
        <v>44020</v>
      </c>
    </row>
    <row r="1072" spans="1:6" x14ac:dyDescent="0.25">
      <c r="A1072" s="37" t="s">
        <v>122</v>
      </c>
      <c r="B1072" s="38" t="str">
        <f t="shared" si="32"/>
        <v>05</v>
      </c>
      <c r="C1072" s="39" t="str">
        <f>+_xlfn.XLOOKUP(A1072,Hoja3!$C$3:$C$1124,Hoja3!$B$3:$B$1124)</f>
        <v>ANTIOQUIA</v>
      </c>
      <c r="D1072" s="40" t="str">
        <f t="shared" si="33"/>
        <v>861</v>
      </c>
      <c r="E1072" s="39" t="str">
        <f>+_xlfn.XLOOKUP(A1072,Hoja3!$C$3:$C$1124,Hoja3!$D$3:$D$1124)</f>
        <v>VENECIA</v>
      </c>
      <c r="F1072" s="41">
        <v>44004</v>
      </c>
    </row>
    <row r="1073" spans="1:6" x14ac:dyDescent="0.25">
      <c r="A1073" s="37" t="s">
        <v>302</v>
      </c>
      <c r="B1073" s="38" t="str">
        <f t="shared" si="32"/>
        <v>15</v>
      </c>
      <c r="C1073" s="39" t="str">
        <f>+_xlfn.XLOOKUP(A1073,Hoja3!$C$3:$C$1124,Hoja3!$B$3:$B$1124)</f>
        <v>BOYACÁ</v>
      </c>
      <c r="D1073" s="40" t="str">
        <f t="shared" si="33"/>
        <v>861</v>
      </c>
      <c r="E1073" s="39" t="str">
        <f>+_xlfn.XLOOKUP(A1073,Hoja3!$C$3:$C$1124,Hoja3!$D$3:$D$1124)</f>
        <v>VENTAQUEMADA</v>
      </c>
      <c r="F1073" s="41">
        <v>43958</v>
      </c>
    </row>
    <row r="1074" spans="1:6" x14ac:dyDescent="0.25">
      <c r="A1074" s="37" t="s">
        <v>915</v>
      </c>
      <c r="B1074" s="38" t="str">
        <f t="shared" si="32"/>
        <v>68</v>
      </c>
      <c r="C1074" s="39" t="str">
        <f>+_xlfn.XLOOKUP(A1074,Hoja3!$C$3:$C$1124,Hoja3!$B$3:$B$1124)</f>
        <v>SANTANDER</v>
      </c>
      <c r="D1074" s="40" t="str">
        <f t="shared" si="33"/>
        <v>861</v>
      </c>
      <c r="E1074" s="39" t="str">
        <f>+_xlfn.XLOOKUP(A1074,Hoja3!$C$3:$C$1124,Hoja3!$D$3:$D$1124)</f>
        <v>VÉLEZ</v>
      </c>
      <c r="F1074" s="41">
        <v>44017</v>
      </c>
    </row>
    <row r="1075" spans="1:6" x14ac:dyDescent="0.25">
      <c r="A1075" s="37" t="s">
        <v>985</v>
      </c>
      <c r="B1075" s="38" t="str">
        <f t="shared" si="32"/>
        <v>73</v>
      </c>
      <c r="C1075" s="39" t="str">
        <f>+_xlfn.XLOOKUP(A1075,Hoja3!$C$3:$C$1124,Hoja3!$B$3:$B$1124)</f>
        <v>TOLIMA</v>
      </c>
      <c r="D1075" s="40" t="str">
        <f t="shared" si="33"/>
        <v>861</v>
      </c>
      <c r="E1075" s="39" t="str">
        <f>+_xlfn.XLOOKUP(A1075,Hoja3!$C$3:$C$1124,Hoja3!$D$3:$D$1124)</f>
        <v>VENADILLO</v>
      </c>
      <c r="F1075" s="41">
        <v>44031</v>
      </c>
    </row>
    <row r="1076" spans="1:6" x14ac:dyDescent="0.25">
      <c r="A1076" s="37" t="s">
        <v>580</v>
      </c>
      <c r="B1076" s="38" t="str">
        <f t="shared" si="32"/>
        <v>25</v>
      </c>
      <c r="C1076" s="39" t="str">
        <f>+_xlfn.XLOOKUP(A1076,Hoja3!$C$3:$C$1124,Hoja3!$B$3:$B$1124)</f>
        <v>CUNDINAMARCA</v>
      </c>
      <c r="D1076" s="40" t="str">
        <f t="shared" si="33"/>
        <v>862</v>
      </c>
      <c r="E1076" s="39" t="str">
        <f>+_xlfn.XLOOKUP(A1076,Hoja3!$C$3:$C$1124,Hoja3!$D$3:$D$1124)</f>
        <v>VERGARA</v>
      </c>
      <c r="F1076" s="41">
        <v>44037</v>
      </c>
    </row>
    <row r="1077" spans="1:6" x14ac:dyDescent="0.25">
      <c r="A1077" s="37" t="s">
        <v>1023</v>
      </c>
      <c r="B1077" s="38" t="str">
        <f t="shared" si="32"/>
        <v>76</v>
      </c>
      <c r="C1077" s="39" t="str">
        <f>+_xlfn.XLOOKUP(A1077,Hoja3!$C$3:$C$1124,Hoja3!$B$3:$B$1124)</f>
        <v>VALLE DEL CAUCA</v>
      </c>
      <c r="D1077" s="40" t="str">
        <f t="shared" si="33"/>
        <v>863</v>
      </c>
      <c r="E1077" s="39" t="str">
        <f>+_xlfn.XLOOKUP(A1077,Hoja3!$C$3:$C$1124,Hoja3!$D$3:$D$1124)</f>
        <v>VERSALLES</v>
      </c>
      <c r="F1077" s="41">
        <v>44010</v>
      </c>
    </row>
    <row r="1078" spans="1:6" x14ac:dyDescent="0.25">
      <c r="A1078" s="37" t="s">
        <v>814</v>
      </c>
      <c r="B1078" s="38" t="str">
        <f t="shared" si="32"/>
        <v>86</v>
      </c>
      <c r="C1078" s="39" t="str">
        <f>+_xlfn.XLOOKUP(A1078,Hoja3!$C$3:$C$1124,Hoja3!$B$3:$B$1124)</f>
        <v>PUTUMAYO</v>
      </c>
      <c r="D1078" s="40" t="str">
        <f t="shared" si="33"/>
        <v>865</v>
      </c>
      <c r="E1078" s="39" t="str">
        <f>+_xlfn.XLOOKUP(A1078,Hoja3!$C$3:$C$1124,Hoja3!$D$3:$D$1124)</f>
        <v>VALLE DEL GUAMUEZ</v>
      </c>
      <c r="F1078" s="41">
        <v>43971</v>
      </c>
    </row>
    <row r="1079" spans="1:6" x14ac:dyDescent="0.25">
      <c r="A1079" s="37" t="s">
        <v>329</v>
      </c>
      <c r="B1079" s="38" t="str">
        <f t="shared" si="32"/>
        <v>17</v>
      </c>
      <c r="C1079" s="39" t="str">
        <f>+_xlfn.XLOOKUP(A1079,Hoja3!$C$3:$C$1124,Hoja3!$B$3:$B$1124)</f>
        <v>CALDAS</v>
      </c>
      <c r="D1079" s="40" t="str">
        <f t="shared" si="33"/>
        <v>867</v>
      </c>
      <c r="E1079" s="39" t="str">
        <f>+_xlfn.XLOOKUP(A1079,Hoja3!$C$3:$C$1124,Hoja3!$D$3:$D$1124)</f>
        <v>VICTORIA</v>
      </c>
      <c r="F1079" s="41">
        <v>44032</v>
      </c>
    </row>
    <row r="1080" spans="1:6" x14ac:dyDescent="0.25">
      <c r="A1080" s="37" t="s">
        <v>581</v>
      </c>
      <c r="B1080" s="38" t="str">
        <f t="shared" si="32"/>
        <v>25</v>
      </c>
      <c r="C1080" s="39" t="str">
        <f>+_xlfn.XLOOKUP(A1080,Hoja3!$C$3:$C$1124,Hoja3!$B$3:$B$1124)</f>
        <v>CUNDINAMARCA</v>
      </c>
      <c r="D1080" s="40" t="str">
        <f t="shared" si="33"/>
        <v>867</v>
      </c>
      <c r="E1080" s="39" t="str">
        <f>+_xlfn.XLOOKUP(A1080,Hoja3!$C$3:$C$1124,Hoja3!$D$3:$D$1124)</f>
        <v>VIANÍ</v>
      </c>
      <c r="F1080" s="41">
        <v>43980</v>
      </c>
    </row>
    <row r="1081" spans="1:6" x14ac:dyDescent="0.25">
      <c r="A1081" s="37" t="s">
        <v>916</v>
      </c>
      <c r="B1081" s="38" t="str">
        <f t="shared" si="32"/>
        <v>68</v>
      </c>
      <c r="C1081" s="39" t="str">
        <f>+_xlfn.XLOOKUP(A1081,Hoja3!$C$3:$C$1124,Hoja3!$B$3:$B$1124)</f>
        <v>SANTANDER</v>
      </c>
      <c r="D1081" s="40" t="str">
        <f t="shared" si="33"/>
        <v>867</v>
      </c>
      <c r="E1081" s="39" t="str">
        <f>+_xlfn.XLOOKUP(A1081,Hoja3!$C$3:$C$1124,Hoja3!$D$3:$D$1124)</f>
        <v>VETAS</v>
      </c>
      <c r="F1081" s="41">
        <v>44042</v>
      </c>
    </row>
    <row r="1082" spans="1:6" x14ac:dyDescent="0.25">
      <c r="A1082" s="37" t="s">
        <v>1024</v>
      </c>
      <c r="B1082" s="38" t="str">
        <f t="shared" si="32"/>
        <v>76</v>
      </c>
      <c r="C1082" s="39" t="str">
        <f>+_xlfn.XLOOKUP(A1082,Hoja3!$C$3:$C$1124,Hoja3!$B$3:$B$1124)</f>
        <v>VALLE DEL CAUCA</v>
      </c>
      <c r="D1082" s="40" t="str">
        <f t="shared" si="33"/>
        <v>869</v>
      </c>
      <c r="E1082" s="39" t="str">
        <f>+_xlfn.XLOOKUP(A1082,Hoja3!$C$3:$C$1124,Hoja3!$D$3:$D$1124)</f>
        <v>VIJES</v>
      </c>
      <c r="F1082" s="41">
        <v>43934</v>
      </c>
    </row>
    <row r="1083" spans="1:6" x14ac:dyDescent="0.25">
      <c r="A1083" s="37" t="s">
        <v>986</v>
      </c>
      <c r="B1083" s="38" t="str">
        <f t="shared" si="32"/>
        <v>73</v>
      </c>
      <c r="C1083" s="39" t="str">
        <f>+_xlfn.XLOOKUP(A1083,Hoja3!$C$3:$C$1124,Hoja3!$B$3:$B$1124)</f>
        <v>TOLIMA</v>
      </c>
      <c r="D1083" s="40" t="str">
        <f t="shared" si="33"/>
        <v>870</v>
      </c>
      <c r="E1083" s="39" t="str">
        <f>+_xlfn.XLOOKUP(A1083,Hoja3!$C$3:$C$1124,Hoja3!$D$3:$D$1124)</f>
        <v>VILLAHERMOSA</v>
      </c>
      <c r="F1083" s="41">
        <v>44058</v>
      </c>
    </row>
    <row r="1084" spans="1:6" x14ac:dyDescent="0.25">
      <c r="A1084" s="37" t="s">
        <v>802</v>
      </c>
      <c r="B1084" s="38" t="str">
        <f t="shared" si="32"/>
        <v>54</v>
      </c>
      <c r="C1084" s="39" t="str">
        <f>+_xlfn.XLOOKUP(A1084,Hoja3!$C$3:$C$1124,Hoja3!$B$3:$B$1124)</f>
        <v>NORTE DE SANTANDER</v>
      </c>
      <c r="D1084" s="40" t="str">
        <f t="shared" si="33"/>
        <v>871</v>
      </c>
      <c r="E1084" s="39" t="str">
        <f>+_xlfn.XLOOKUP(A1084,Hoja3!$C$3:$C$1124,Hoja3!$D$3:$D$1124)</f>
        <v>VILLA CARO</v>
      </c>
      <c r="F1084" s="41">
        <v>44033</v>
      </c>
    </row>
    <row r="1085" spans="1:6" x14ac:dyDescent="0.25">
      <c r="A1085" s="38" t="s">
        <v>2092</v>
      </c>
      <c r="B1085" s="38" t="str">
        <f t="shared" si="32"/>
        <v>25</v>
      </c>
      <c r="C1085" s="39" t="str">
        <f>+_xlfn.XLOOKUP(A1085,Hoja3!$C$3:$C$1124,Hoja3!$B$3:$B$1124)</f>
        <v>CUNDINAMARCA</v>
      </c>
      <c r="D1085" s="40" t="str">
        <f t="shared" si="33"/>
        <v>871</v>
      </c>
      <c r="E1085" s="39" t="str">
        <f>+_xlfn.XLOOKUP(A1085,Hoja3!$C$3:$C$1124,Hoja3!$D$3:$D$1124)</f>
        <v>VILLAGÓMEZ</v>
      </c>
      <c r="F1085" s="42">
        <v>45658</v>
      </c>
    </row>
    <row r="1086" spans="1:6" x14ac:dyDescent="0.25">
      <c r="A1086" s="37" t="s">
        <v>630</v>
      </c>
      <c r="B1086" s="38" t="str">
        <f t="shared" si="32"/>
        <v>41</v>
      </c>
      <c r="C1086" s="39" t="str">
        <f>+_xlfn.XLOOKUP(A1086,Hoja3!$C$3:$C$1124,Hoja3!$B$3:$B$1124)</f>
        <v>HUILA</v>
      </c>
      <c r="D1086" s="40" t="str">
        <f t="shared" si="33"/>
        <v>872</v>
      </c>
      <c r="E1086" s="39" t="str">
        <f>+_xlfn.XLOOKUP(A1086,Hoja3!$C$3:$C$1124,Hoja3!$D$3:$D$1124)</f>
        <v>VILLAVIEJA</v>
      </c>
      <c r="F1086" s="41">
        <v>44022</v>
      </c>
    </row>
    <row r="1087" spans="1:6" x14ac:dyDescent="0.25">
      <c r="A1087" s="37" t="s">
        <v>917</v>
      </c>
      <c r="B1087" s="38" t="str">
        <f t="shared" si="32"/>
        <v>68</v>
      </c>
      <c r="C1087" s="39" t="str">
        <f>+_xlfn.XLOOKUP(A1087,Hoja3!$C$3:$C$1124,Hoja3!$B$3:$B$1124)</f>
        <v>SANTANDER</v>
      </c>
      <c r="D1087" s="40" t="str">
        <f t="shared" si="33"/>
        <v>872</v>
      </c>
      <c r="E1087" s="39" t="str">
        <f>+_xlfn.XLOOKUP(A1087,Hoja3!$C$3:$C$1124,Hoja3!$D$3:$D$1124)</f>
        <v>VILLANUEVA</v>
      </c>
      <c r="F1087" s="41">
        <v>43956</v>
      </c>
    </row>
    <row r="1088" spans="1:6" x14ac:dyDescent="0.25">
      <c r="A1088" s="37" t="s">
        <v>123</v>
      </c>
      <c r="B1088" s="38" t="str">
        <f t="shared" si="32"/>
        <v>05</v>
      </c>
      <c r="C1088" s="39" t="str">
        <f>+_xlfn.XLOOKUP(A1088,Hoja3!$C$3:$C$1124,Hoja3!$B$3:$B$1124)</f>
        <v>ANTIOQUIA</v>
      </c>
      <c r="D1088" s="40" t="str">
        <f t="shared" si="33"/>
        <v>873</v>
      </c>
      <c r="E1088" s="39" t="str">
        <f>+_xlfn.XLOOKUP(A1088,Hoja3!$C$3:$C$1124,Hoja3!$D$3:$D$1124)</f>
        <v>VIGÍA DEL FUERTE</v>
      </c>
      <c r="F1088" s="41">
        <v>43981</v>
      </c>
    </row>
    <row r="1089" spans="1:6" x14ac:dyDescent="0.25">
      <c r="A1089" s="37" t="s">
        <v>203</v>
      </c>
      <c r="B1089" s="38" t="str">
        <f t="shared" si="32"/>
        <v>13</v>
      </c>
      <c r="C1089" s="39" t="str">
        <f>+_xlfn.XLOOKUP(A1089,Hoja3!$C$3:$C$1124,Hoja3!$B$3:$B$1124)</f>
        <v>BOLÍVAR</v>
      </c>
      <c r="D1089" s="40" t="str">
        <f t="shared" si="33"/>
        <v>873</v>
      </c>
      <c r="E1089" s="39" t="str">
        <f>+_xlfn.XLOOKUP(A1089,Hoja3!$C$3:$C$1124,Hoja3!$D$3:$D$1124)</f>
        <v>VILLANUEVA</v>
      </c>
      <c r="F1089" s="41">
        <v>43931</v>
      </c>
    </row>
    <row r="1090" spans="1:6" x14ac:dyDescent="0.25">
      <c r="A1090" s="37" t="s">
        <v>330</v>
      </c>
      <c r="B1090" s="38" t="str">
        <f t="shared" ref="B1090:B1153" si="34">MID(A1090,1,2)</f>
        <v>17</v>
      </c>
      <c r="C1090" s="39" t="str">
        <f>+_xlfn.XLOOKUP(A1090,Hoja3!$C$3:$C$1124,Hoja3!$B$3:$B$1124)</f>
        <v>CALDAS</v>
      </c>
      <c r="D1090" s="40" t="str">
        <f t="shared" ref="D1090:D1124" si="35">MID(A1090,3,3)</f>
        <v>873</v>
      </c>
      <c r="E1090" s="39" t="str">
        <f>+_xlfn.XLOOKUP(A1090,Hoja3!$C$3:$C$1124,Hoja3!$D$3:$D$1124)</f>
        <v>VILLAMARÍA</v>
      </c>
      <c r="F1090" s="41">
        <v>43904</v>
      </c>
    </row>
    <row r="1091" spans="1:6" x14ac:dyDescent="0.25">
      <c r="A1091" s="37" t="s">
        <v>582</v>
      </c>
      <c r="B1091" s="38" t="str">
        <f t="shared" si="34"/>
        <v>25</v>
      </c>
      <c r="C1091" s="39" t="str">
        <f>+_xlfn.XLOOKUP(A1091,Hoja3!$C$3:$C$1124,Hoja3!$B$3:$B$1124)</f>
        <v>CUNDINAMARCA</v>
      </c>
      <c r="D1091" s="40" t="str">
        <f t="shared" si="35"/>
        <v>873</v>
      </c>
      <c r="E1091" s="39" t="str">
        <f>+_xlfn.XLOOKUP(A1091,Hoja3!$C$3:$C$1124,Hoja3!$D$3:$D$1124)</f>
        <v>VILLAPINZÓN</v>
      </c>
      <c r="F1091" s="41">
        <v>43905</v>
      </c>
    </row>
    <row r="1092" spans="1:6" x14ac:dyDescent="0.25">
      <c r="A1092" s="37" t="s">
        <v>987</v>
      </c>
      <c r="B1092" s="38" t="str">
        <f t="shared" si="34"/>
        <v>73</v>
      </c>
      <c r="C1092" s="39" t="str">
        <f>+_xlfn.XLOOKUP(A1092,Hoja3!$C$3:$C$1124,Hoja3!$B$3:$B$1124)</f>
        <v>TOLIMA</v>
      </c>
      <c r="D1092" s="40" t="str">
        <f t="shared" si="35"/>
        <v>873</v>
      </c>
      <c r="E1092" s="39" t="str">
        <f>+_xlfn.XLOOKUP(A1092,Hoja3!$C$3:$C$1124,Hoja3!$D$3:$D$1124)</f>
        <v>VILLARRICA</v>
      </c>
      <c r="F1092" s="41">
        <v>43992</v>
      </c>
    </row>
    <row r="1093" spans="1:6" x14ac:dyDescent="0.25">
      <c r="A1093" s="37" t="s">
        <v>646</v>
      </c>
      <c r="B1093" s="38" t="str">
        <f t="shared" si="34"/>
        <v>44</v>
      </c>
      <c r="C1093" s="39" t="str">
        <f>+_xlfn.XLOOKUP(A1093,Hoja3!$C$3:$C$1124,Hoja3!$B$3:$B$1124)</f>
        <v>LA GUAJIRA</v>
      </c>
      <c r="D1093" s="40" t="str">
        <f t="shared" si="35"/>
        <v>874</v>
      </c>
      <c r="E1093" s="39" t="str">
        <f>+_xlfn.XLOOKUP(A1093,Hoja3!$C$3:$C$1124,Hoja3!$D$3:$D$1124)</f>
        <v>VILLANUEVA</v>
      </c>
      <c r="F1093" s="41">
        <v>44006</v>
      </c>
    </row>
    <row r="1094" spans="1:6" x14ac:dyDescent="0.25">
      <c r="A1094" s="37" t="s">
        <v>803</v>
      </c>
      <c r="B1094" s="38" t="str">
        <f t="shared" si="34"/>
        <v>54</v>
      </c>
      <c r="C1094" s="39" t="str">
        <f>+_xlfn.XLOOKUP(A1094,Hoja3!$C$3:$C$1124,Hoja3!$B$3:$B$1124)</f>
        <v>NORTE DE SANTANDER</v>
      </c>
      <c r="D1094" s="40" t="str">
        <f t="shared" si="35"/>
        <v>874</v>
      </c>
      <c r="E1094" s="39" t="str">
        <f>+_xlfn.XLOOKUP(A1094,Hoja3!$C$3:$C$1124,Hoja3!$D$3:$D$1124)</f>
        <v>VILLA DEL ROSARIO</v>
      </c>
      <c r="F1094" s="41">
        <v>43904</v>
      </c>
    </row>
    <row r="1095" spans="1:6" x14ac:dyDescent="0.25">
      <c r="A1095" s="37" t="s">
        <v>583</v>
      </c>
      <c r="B1095" s="38" t="str">
        <f t="shared" si="34"/>
        <v>25</v>
      </c>
      <c r="C1095" s="39" t="str">
        <f>+_xlfn.XLOOKUP(A1095,Hoja3!$C$3:$C$1124,Hoja3!$B$3:$B$1124)</f>
        <v>CUNDINAMARCA</v>
      </c>
      <c r="D1095" s="40" t="str">
        <f t="shared" si="35"/>
        <v>875</v>
      </c>
      <c r="E1095" s="39" t="str">
        <f>+_xlfn.XLOOKUP(A1095,Hoja3!$C$3:$C$1124,Hoja3!$D$3:$D$1124)</f>
        <v>VILLETA</v>
      </c>
      <c r="F1095" s="41">
        <v>43907</v>
      </c>
    </row>
    <row r="1096" spans="1:6" x14ac:dyDescent="0.25">
      <c r="A1096" s="37" t="s">
        <v>331</v>
      </c>
      <c r="B1096" s="38" t="str">
        <f t="shared" si="34"/>
        <v>17</v>
      </c>
      <c r="C1096" s="39" t="str">
        <f>+_xlfn.XLOOKUP(A1096,Hoja3!$C$3:$C$1124,Hoja3!$B$3:$B$1124)</f>
        <v>CALDAS</v>
      </c>
      <c r="D1096" s="40" t="str">
        <f t="shared" si="35"/>
        <v>877</v>
      </c>
      <c r="E1096" s="39" t="str">
        <f>+_xlfn.XLOOKUP(A1096,Hoja3!$C$3:$C$1124,Hoja3!$D$3:$D$1124)</f>
        <v>VITERBO</v>
      </c>
      <c r="F1096" s="41">
        <v>43905</v>
      </c>
    </row>
    <row r="1097" spans="1:6" x14ac:dyDescent="0.25">
      <c r="A1097" s="37" t="s">
        <v>584</v>
      </c>
      <c r="B1097" s="38" t="str">
        <f t="shared" si="34"/>
        <v>25</v>
      </c>
      <c r="C1097" s="39" t="str">
        <f>+_xlfn.XLOOKUP(A1097,Hoja3!$C$3:$C$1124,Hoja3!$B$3:$B$1124)</f>
        <v>CUNDINAMARCA</v>
      </c>
      <c r="D1097" s="40" t="str">
        <f t="shared" si="35"/>
        <v>878</v>
      </c>
      <c r="E1097" s="39" t="str">
        <f>+_xlfn.XLOOKUP(A1097,Hoja3!$C$3:$C$1124,Hoja3!$D$3:$D$1124)</f>
        <v>VIOTÁ</v>
      </c>
      <c r="F1097" s="41">
        <v>43973</v>
      </c>
    </row>
    <row r="1098" spans="1:6" x14ac:dyDescent="0.25">
      <c r="A1098" s="37" t="s">
        <v>303</v>
      </c>
      <c r="B1098" s="38" t="str">
        <f t="shared" si="34"/>
        <v>15</v>
      </c>
      <c r="C1098" s="39" t="str">
        <f>+_xlfn.XLOOKUP(A1098,Hoja3!$C$3:$C$1124,Hoja3!$B$3:$B$1124)</f>
        <v>BOYACÁ</v>
      </c>
      <c r="D1098" s="40" t="str">
        <f t="shared" si="35"/>
        <v>879</v>
      </c>
      <c r="E1098" s="39" t="str">
        <f>+_xlfn.XLOOKUP(A1098,Hoja3!$C$3:$C$1124,Hoja3!$D$3:$D$1124)</f>
        <v>VIRACACHÁ</v>
      </c>
      <c r="F1098" s="41">
        <v>43959</v>
      </c>
    </row>
    <row r="1099" spans="1:6" x14ac:dyDescent="0.25">
      <c r="A1099" s="37" t="s">
        <v>589</v>
      </c>
      <c r="B1099" s="38" t="str">
        <f t="shared" si="34"/>
        <v>94</v>
      </c>
      <c r="C1099" s="39" t="str">
        <f>+_xlfn.XLOOKUP(A1099,Hoja3!$C$3:$C$1124,Hoja3!$B$3:$B$1124)</f>
        <v>GUAINÍA</v>
      </c>
      <c r="D1099" s="40" t="str">
        <f t="shared" si="35"/>
        <v>883</v>
      </c>
      <c r="E1099" s="39" t="str">
        <f>+_xlfn.XLOOKUP(A1099,Hoja3!$C$3:$C$1124,Hoja3!$D$3:$D$1124)</f>
        <v>SAN FELIPE</v>
      </c>
      <c r="F1099" s="41">
        <v>43994</v>
      </c>
    </row>
    <row r="1100" spans="1:6" x14ac:dyDescent="0.25">
      <c r="A1100" s="37" t="s">
        <v>590</v>
      </c>
      <c r="B1100" s="38" t="str">
        <f t="shared" si="34"/>
        <v>94</v>
      </c>
      <c r="C1100" s="39" t="str">
        <f>+_xlfn.XLOOKUP(A1100,Hoja3!$C$3:$C$1124,Hoja3!$B$3:$B$1124)</f>
        <v>GUAINÍA</v>
      </c>
      <c r="D1100" s="40" t="str">
        <f t="shared" si="35"/>
        <v>884</v>
      </c>
      <c r="E1100" s="39" t="str">
        <f>+_xlfn.XLOOKUP(A1100,Hoja3!$C$3:$C$1124,Hoja3!$D$3:$D$1124)</f>
        <v>PUERTO COLOMBIA</v>
      </c>
      <c r="F1100" s="41">
        <v>43999</v>
      </c>
    </row>
    <row r="1101" spans="1:6" x14ac:dyDescent="0.25">
      <c r="A1101" s="37" t="s">
        <v>124</v>
      </c>
      <c r="B1101" s="38" t="str">
        <f t="shared" si="34"/>
        <v>05</v>
      </c>
      <c r="C1101" s="39" t="str">
        <f>+_xlfn.XLOOKUP(A1101,Hoja3!$C$3:$C$1124,Hoja3!$B$3:$B$1124)</f>
        <v>ANTIOQUIA</v>
      </c>
      <c r="D1101" s="40" t="str">
        <f t="shared" si="35"/>
        <v>885</v>
      </c>
      <c r="E1101" s="39" t="str">
        <f>+_xlfn.XLOOKUP(A1101,Hoja3!$C$3:$C$1124,Hoja3!$D$3:$D$1124)</f>
        <v>YALÍ</v>
      </c>
      <c r="F1101" s="41">
        <v>44072</v>
      </c>
    </row>
    <row r="1102" spans="1:6" x14ac:dyDescent="0.25">
      <c r="A1102" s="37" t="s">
        <v>585</v>
      </c>
      <c r="B1102" s="38" t="str">
        <f t="shared" si="34"/>
        <v>25</v>
      </c>
      <c r="C1102" s="39" t="str">
        <f>+_xlfn.XLOOKUP(A1102,Hoja3!$C$3:$C$1124,Hoja3!$B$3:$B$1124)</f>
        <v>CUNDINAMARCA</v>
      </c>
      <c r="D1102" s="40" t="str">
        <f t="shared" si="35"/>
        <v>885</v>
      </c>
      <c r="E1102" s="39" t="str">
        <f>+_xlfn.XLOOKUP(A1102,Hoja3!$C$3:$C$1124,Hoja3!$D$3:$D$1124)</f>
        <v>YACOPÍ</v>
      </c>
      <c r="F1102" s="41">
        <v>43965</v>
      </c>
    </row>
    <row r="1103" spans="1:6" x14ac:dyDescent="0.25">
      <c r="A1103" s="37" t="s">
        <v>631</v>
      </c>
      <c r="B1103" s="38" t="str">
        <f t="shared" si="34"/>
        <v>41</v>
      </c>
      <c r="C1103" s="39" t="str">
        <f>+_xlfn.XLOOKUP(A1103,Hoja3!$C$3:$C$1124,Hoja3!$B$3:$B$1124)</f>
        <v>HUILA</v>
      </c>
      <c r="D1103" s="40" t="str">
        <f t="shared" si="35"/>
        <v>885</v>
      </c>
      <c r="E1103" s="39" t="str">
        <f>+_xlfn.XLOOKUP(A1103,Hoja3!$C$3:$C$1124,Hoja3!$D$3:$D$1124)</f>
        <v>YAGUARÁ</v>
      </c>
      <c r="F1103" s="41">
        <v>43915</v>
      </c>
    </row>
    <row r="1104" spans="1:6" x14ac:dyDescent="0.25">
      <c r="A1104" s="37" t="s">
        <v>763</v>
      </c>
      <c r="B1104" s="38" t="str">
        <f t="shared" si="34"/>
        <v>52</v>
      </c>
      <c r="C1104" s="39" t="str">
        <f>+_xlfn.XLOOKUP(A1104,Hoja3!$C$3:$C$1124,Hoja3!$B$3:$B$1124)</f>
        <v>NARIÑO</v>
      </c>
      <c r="D1104" s="40" t="str">
        <f t="shared" si="35"/>
        <v>885</v>
      </c>
      <c r="E1104" s="39" t="str">
        <f>+_xlfn.XLOOKUP(A1104,Hoja3!$C$3:$C$1124,Hoja3!$D$3:$D$1124)</f>
        <v>YACUANQUER</v>
      </c>
      <c r="F1104" s="41">
        <v>43973</v>
      </c>
    </row>
    <row r="1105" spans="1:6" x14ac:dyDescent="0.25">
      <c r="A1105" s="37" t="s">
        <v>815</v>
      </c>
      <c r="B1105" s="38" t="str">
        <f t="shared" si="34"/>
        <v>86</v>
      </c>
      <c r="C1105" s="39" t="str">
        <f>+_xlfn.XLOOKUP(A1105,Hoja3!$C$3:$C$1124,Hoja3!$B$3:$B$1124)</f>
        <v>PUTUMAYO</v>
      </c>
      <c r="D1105" s="40" t="str">
        <f t="shared" si="35"/>
        <v>885</v>
      </c>
      <c r="E1105" s="39" t="str">
        <f>+_xlfn.XLOOKUP(A1105,Hoja3!$C$3:$C$1124,Hoja3!$D$3:$D$1124)</f>
        <v>VILLAGARZÓN</v>
      </c>
      <c r="F1105" s="41">
        <v>44009</v>
      </c>
    </row>
    <row r="1106" spans="1:6" x14ac:dyDescent="0.25">
      <c r="A1106" s="38" t="s">
        <v>2053</v>
      </c>
      <c r="B1106" s="38" t="str">
        <f t="shared" si="34"/>
        <v>94</v>
      </c>
      <c r="C1106" s="39" t="str">
        <f>+_xlfn.XLOOKUP(A1106,Hoja3!$C$3:$C$1124,Hoja3!$B$3:$B$1124)</f>
        <v>GUAINÍA</v>
      </c>
      <c r="D1106" s="40" t="str">
        <f t="shared" si="35"/>
        <v>885</v>
      </c>
      <c r="E1106" s="39" t="str">
        <f>+_xlfn.XLOOKUP(A1106,Hoja3!$C$3:$C$1124,Hoja3!$D$3:$D$1124)</f>
        <v>LA GUADALUPE</v>
      </c>
      <c r="F1106" s="42">
        <v>45658</v>
      </c>
    </row>
    <row r="1107" spans="1:6" x14ac:dyDescent="0.25">
      <c r="A1107" s="38" t="s">
        <v>2052</v>
      </c>
      <c r="B1107" s="38" t="str">
        <f t="shared" si="34"/>
        <v>94</v>
      </c>
      <c r="C1107" s="39" t="str">
        <f>+_xlfn.XLOOKUP(A1107,Hoja3!$C$3:$C$1124,Hoja3!$B$3:$B$1124)</f>
        <v>GUAINÍA</v>
      </c>
      <c r="D1107" s="40" t="str">
        <f t="shared" si="35"/>
        <v>886</v>
      </c>
      <c r="E1107" s="39" t="str">
        <f>+_xlfn.XLOOKUP(A1107,Hoja3!$C$3:$C$1124,Hoja3!$D$3:$D$1124)</f>
        <v>CACAHUAL</v>
      </c>
      <c r="F1107" s="42">
        <v>45658</v>
      </c>
    </row>
    <row r="1108" spans="1:6" x14ac:dyDescent="0.25">
      <c r="A1108" s="37" t="s">
        <v>125</v>
      </c>
      <c r="B1108" s="38" t="str">
        <f t="shared" si="34"/>
        <v>05</v>
      </c>
      <c r="C1108" s="39" t="str">
        <f>+_xlfn.XLOOKUP(A1108,Hoja3!$C$3:$C$1124,Hoja3!$B$3:$B$1124)</f>
        <v>ANTIOQUIA</v>
      </c>
      <c r="D1108" s="40" t="str">
        <f t="shared" si="35"/>
        <v>887</v>
      </c>
      <c r="E1108" s="39" t="str">
        <f>+_xlfn.XLOOKUP(A1108,Hoja3!$C$3:$C$1124,Hoja3!$D$3:$D$1124)</f>
        <v>YARUMAL</v>
      </c>
      <c r="F1108" s="41">
        <v>43983</v>
      </c>
    </row>
    <row r="1109" spans="1:6" x14ac:dyDescent="0.25">
      <c r="A1109" s="38" t="s">
        <v>2051</v>
      </c>
      <c r="B1109" s="38" t="str">
        <f t="shared" si="34"/>
        <v>94</v>
      </c>
      <c r="C1109" s="39" t="str">
        <f>+_xlfn.XLOOKUP(A1109,Hoja3!$C$3:$C$1124,Hoja3!$B$3:$B$1124)</f>
        <v>GUAINÍA</v>
      </c>
      <c r="D1109" s="40" t="str">
        <f t="shared" si="35"/>
        <v>887</v>
      </c>
      <c r="E1109" s="39" t="str">
        <f>+_xlfn.XLOOKUP(A1109,Hoja3!$C$3:$C$1124,Hoja3!$D$3:$D$1124)</f>
        <v>PANA PANA</v>
      </c>
      <c r="F1109" s="42">
        <v>45658</v>
      </c>
    </row>
    <row r="1110" spans="1:6" x14ac:dyDescent="0.25">
      <c r="A1110" s="38" t="s">
        <v>2047</v>
      </c>
      <c r="B1110" s="38" t="str">
        <f t="shared" si="34"/>
        <v>94</v>
      </c>
      <c r="C1110" s="39" t="str">
        <f>+_xlfn.XLOOKUP(A1110,Hoja3!$C$3:$C$1124,Hoja3!$B$3:$B$1124)</f>
        <v>GUAINÍA</v>
      </c>
      <c r="D1110" s="40" t="str">
        <f t="shared" si="35"/>
        <v>888</v>
      </c>
      <c r="E1110" s="39" t="str">
        <f>+_xlfn.XLOOKUP(A1110,Hoja3!$C$3:$C$1124,Hoja3!$D$3:$D$1124)</f>
        <v>MORICHAL</v>
      </c>
      <c r="F1110" s="42">
        <v>45658</v>
      </c>
    </row>
    <row r="1111" spans="1:6" x14ac:dyDescent="0.25">
      <c r="A1111" s="37" t="s">
        <v>1031</v>
      </c>
      <c r="B1111" s="38" t="str">
        <f t="shared" si="34"/>
        <v>97</v>
      </c>
      <c r="C1111" s="39" t="str">
        <f>+_xlfn.XLOOKUP(A1111,Hoja3!$C$3:$C$1124,Hoja3!$B$3:$B$1124)</f>
        <v>VAUPÉS</v>
      </c>
      <c r="D1111" s="40" t="str">
        <f t="shared" si="35"/>
        <v>889</v>
      </c>
      <c r="E1111" s="39" t="str">
        <f>+_xlfn.XLOOKUP(A1111,Hoja3!$C$3:$C$1124,Hoja3!$D$3:$D$1124)</f>
        <v>YAVARATÉ</v>
      </c>
      <c r="F1111" s="41">
        <v>43977</v>
      </c>
    </row>
    <row r="1112" spans="1:6" x14ac:dyDescent="0.25">
      <c r="A1112" s="37" t="s">
        <v>126</v>
      </c>
      <c r="B1112" s="38" t="str">
        <f t="shared" si="34"/>
        <v>05</v>
      </c>
      <c r="C1112" s="39" t="str">
        <f>+_xlfn.XLOOKUP(A1112,Hoja3!$C$3:$C$1124,Hoja3!$B$3:$B$1124)</f>
        <v>ANTIOQUIA</v>
      </c>
      <c r="D1112" s="40" t="str">
        <f t="shared" si="35"/>
        <v>890</v>
      </c>
      <c r="E1112" s="39" t="str">
        <f>+_xlfn.XLOOKUP(A1112,Hoja3!$C$3:$C$1124,Hoja3!$D$3:$D$1124)</f>
        <v>YOLOMBÓ</v>
      </c>
      <c r="F1112" s="41">
        <v>43971</v>
      </c>
    </row>
    <row r="1113" spans="1:6" x14ac:dyDescent="0.25">
      <c r="A1113" s="37" t="s">
        <v>1025</v>
      </c>
      <c r="B1113" s="38" t="str">
        <f t="shared" si="34"/>
        <v>76</v>
      </c>
      <c r="C1113" s="39" t="str">
        <f>+_xlfn.XLOOKUP(A1113,Hoja3!$C$3:$C$1124,Hoja3!$B$3:$B$1124)</f>
        <v>VALLE DEL CAUCA</v>
      </c>
      <c r="D1113" s="40" t="str">
        <f t="shared" si="35"/>
        <v>890</v>
      </c>
      <c r="E1113" s="39" t="str">
        <f>+_xlfn.XLOOKUP(A1113,Hoja3!$C$3:$C$1124,Hoja3!$D$3:$D$1124)</f>
        <v>YOTOCO</v>
      </c>
      <c r="F1113" s="41">
        <v>43923</v>
      </c>
    </row>
    <row r="1114" spans="1:6" x14ac:dyDescent="0.25">
      <c r="A1114" s="37" t="s">
        <v>1026</v>
      </c>
      <c r="B1114" s="38" t="str">
        <f t="shared" si="34"/>
        <v>76</v>
      </c>
      <c r="C1114" s="39" t="str">
        <f>+_xlfn.XLOOKUP(A1114,Hoja3!$C$3:$C$1124,Hoja3!$B$3:$B$1124)</f>
        <v>VALLE DEL CAUCA</v>
      </c>
      <c r="D1114" s="40" t="str">
        <f t="shared" si="35"/>
        <v>892</v>
      </c>
      <c r="E1114" s="39" t="str">
        <f>+_xlfn.XLOOKUP(A1114,Hoja3!$C$3:$C$1124,Hoja3!$D$3:$D$1124)</f>
        <v>YUMBO</v>
      </c>
      <c r="F1114" s="41">
        <v>43898</v>
      </c>
    </row>
    <row r="1115" spans="1:6" x14ac:dyDescent="0.25">
      <c r="A1115" s="37" t="s">
        <v>127</v>
      </c>
      <c r="B1115" s="38" t="str">
        <f t="shared" si="34"/>
        <v>05</v>
      </c>
      <c r="C1115" s="39" t="str">
        <f>+_xlfn.XLOOKUP(A1115,Hoja3!$C$3:$C$1124,Hoja3!$B$3:$B$1124)</f>
        <v>ANTIOQUIA</v>
      </c>
      <c r="D1115" s="40" t="str">
        <f t="shared" si="35"/>
        <v>893</v>
      </c>
      <c r="E1115" s="39" t="str">
        <f>+_xlfn.XLOOKUP(A1115,Hoja3!$C$3:$C$1124,Hoja3!$D$3:$D$1124)</f>
        <v>YONDÓ</v>
      </c>
      <c r="F1115" s="41">
        <v>44033</v>
      </c>
    </row>
    <row r="1116" spans="1:6" x14ac:dyDescent="0.25">
      <c r="A1116" s="37" t="s">
        <v>204</v>
      </c>
      <c r="B1116" s="38" t="str">
        <f t="shared" si="34"/>
        <v>13</v>
      </c>
      <c r="C1116" s="39" t="str">
        <f>+_xlfn.XLOOKUP(A1116,Hoja3!$C$3:$C$1124,Hoja3!$B$3:$B$1124)</f>
        <v>BOLÍVAR</v>
      </c>
      <c r="D1116" s="40" t="str">
        <f t="shared" si="35"/>
        <v>894</v>
      </c>
      <c r="E1116" s="39" t="str">
        <f>+_xlfn.XLOOKUP(A1116,Hoja3!$C$3:$C$1124,Hoja3!$D$3:$D$1124)</f>
        <v>ZAMBRANO</v>
      </c>
      <c r="F1116" s="41">
        <v>43999</v>
      </c>
    </row>
    <row r="1117" spans="1:6" x14ac:dyDescent="0.25">
      <c r="A1117" s="37" t="s">
        <v>918</v>
      </c>
      <c r="B1117" s="38" t="str">
        <f t="shared" si="34"/>
        <v>68</v>
      </c>
      <c r="C1117" s="39" t="str">
        <f>+_xlfn.XLOOKUP(A1117,Hoja3!$C$3:$C$1124,Hoja3!$B$3:$B$1124)</f>
        <v>SANTANDER</v>
      </c>
      <c r="D1117" s="40" t="str">
        <f t="shared" si="35"/>
        <v>895</v>
      </c>
      <c r="E1117" s="39" t="str">
        <f>+_xlfn.XLOOKUP(A1117,Hoja3!$C$3:$C$1124,Hoja3!$D$3:$D$1124)</f>
        <v>ZAPATOCA</v>
      </c>
      <c r="F1117" s="41">
        <v>44019</v>
      </c>
    </row>
    <row r="1118" spans="1:6" x14ac:dyDescent="0.25">
      <c r="A1118" s="37" t="s">
        <v>1027</v>
      </c>
      <c r="B1118" s="38" t="str">
        <f t="shared" si="34"/>
        <v>76</v>
      </c>
      <c r="C1118" s="39" t="str">
        <f>+_xlfn.XLOOKUP(A1118,Hoja3!$C$3:$C$1124,Hoja3!$B$3:$B$1124)</f>
        <v>VALLE DEL CAUCA</v>
      </c>
      <c r="D1118" s="40" t="str">
        <f t="shared" si="35"/>
        <v>895</v>
      </c>
      <c r="E1118" s="39" t="str">
        <f>+_xlfn.XLOOKUP(A1118,Hoja3!$C$3:$C$1124,Hoja3!$D$3:$D$1124)</f>
        <v>ZARZAL</v>
      </c>
      <c r="F1118" s="41">
        <v>43992</v>
      </c>
    </row>
    <row r="1119" spans="1:6" x14ac:dyDescent="0.25">
      <c r="A1119" s="37" t="s">
        <v>128</v>
      </c>
      <c r="B1119" s="38" t="str">
        <f t="shared" si="34"/>
        <v>05</v>
      </c>
      <c r="C1119" s="39" t="str">
        <f>+_xlfn.XLOOKUP(A1119,Hoja3!$C$3:$C$1124,Hoja3!$B$3:$B$1124)</f>
        <v>ANTIOQUIA</v>
      </c>
      <c r="D1119" s="40" t="str">
        <f t="shared" si="35"/>
        <v>895</v>
      </c>
      <c r="E1119" s="39" t="str">
        <f>+_xlfn.XLOOKUP(A1119,Hoja3!$C$3:$C$1124,Hoja3!$D$3:$D$1124)</f>
        <v>ZARAGOZA</v>
      </c>
      <c r="F1119" s="41">
        <v>44005</v>
      </c>
    </row>
    <row r="1120" spans="1:6" x14ac:dyDescent="0.25">
      <c r="A1120" s="37" t="s">
        <v>304</v>
      </c>
      <c r="B1120" s="38" t="str">
        <f t="shared" si="34"/>
        <v>15</v>
      </c>
      <c r="C1120" s="39" t="str">
        <f>+_xlfn.XLOOKUP(A1120,Hoja3!$C$3:$C$1124,Hoja3!$B$3:$B$1124)</f>
        <v>BOYACÁ</v>
      </c>
      <c r="D1120" s="40" t="str">
        <f t="shared" si="35"/>
        <v>897</v>
      </c>
      <c r="E1120" s="39" t="str">
        <f>+_xlfn.XLOOKUP(A1120,Hoja3!$C$3:$C$1124,Hoja3!$D$3:$D$1124)</f>
        <v>ZETAQUIRA</v>
      </c>
      <c r="F1120" s="41">
        <v>44037</v>
      </c>
    </row>
    <row r="1121" spans="1:6" x14ac:dyDescent="0.25">
      <c r="A1121" s="37" t="s">
        <v>586</v>
      </c>
      <c r="B1121" s="38" t="str">
        <f t="shared" si="34"/>
        <v>25</v>
      </c>
      <c r="C1121" s="39" t="str">
        <f>+_xlfn.XLOOKUP(A1121,Hoja3!$C$3:$C$1124,Hoja3!$B$3:$B$1124)</f>
        <v>CUNDINAMARCA</v>
      </c>
      <c r="D1121" s="40" t="str">
        <f t="shared" si="35"/>
        <v>898</v>
      </c>
      <c r="E1121" s="39" t="str">
        <f>+_xlfn.XLOOKUP(A1121,Hoja3!$C$3:$C$1124,Hoja3!$D$3:$D$1124)</f>
        <v>ZIPACÓN</v>
      </c>
      <c r="F1121" s="41">
        <v>43961</v>
      </c>
    </row>
    <row r="1122" spans="1:6" x14ac:dyDescent="0.25">
      <c r="A1122" s="37" t="s">
        <v>2018</v>
      </c>
      <c r="B1122" s="38" t="str">
        <f t="shared" si="34"/>
        <v>25</v>
      </c>
      <c r="C1122" s="39" t="str">
        <f>+_xlfn.XLOOKUP(A1122,Hoja3!$C$3:$C$1124,Hoja3!$B$3:$B$1124)</f>
        <v>CUNDINAMARCA</v>
      </c>
      <c r="D1122" s="40" t="str">
        <f t="shared" si="35"/>
        <v>899</v>
      </c>
      <c r="E1122" s="39" t="str">
        <f>+_xlfn.XLOOKUP(A1122,Hoja3!$C$3:$C$1124,Hoja3!$D$3:$D$1124)</f>
        <v>ZIPAQUIRÁ</v>
      </c>
      <c r="F1122" s="41">
        <v>43900</v>
      </c>
    </row>
    <row r="1123" spans="1:6" x14ac:dyDescent="0.25">
      <c r="A1123" s="37" t="s">
        <v>674</v>
      </c>
      <c r="B1123" s="38" t="str">
        <f t="shared" si="34"/>
        <v>47</v>
      </c>
      <c r="C1123" s="39" t="str">
        <f>+_xlfn.XLOOKUP(A1123,Hoja3!$C$3:$C$1124,Hoja3!$B$3:$B$1124)</f>
        <v>MAGDALENA</v>
      </c>
      <c r="D1123" s="40" t="str">
        <f t="shared" si="35"/>
        <v>960</v>
      </c>
      <c r="E1123" s="39" t="str">
        <f>+_xlfn.XLOOKUP(A1123,Hoja3!$C$3:$C$1124,Hoja3!$D$3:$D$1124)</f>
        <v>ZAPAYÁN</v>
      </c>
      <c r="F1123" s="41">
        <v>44033</v>
      </c>
    </row>
    <row r="1124" spans="1:6" x14ac:dyDescent="0.25">
      <c r="A1124" s="37" t="s">
        <v>675</v>
      </c>
      <c r="B1124" s="38" t="str">
        <f t="shared" si="34"/>
        <v>47</v>
      </c>
      <c r="C1124" s="39" t="str">
        <f>+_xlfn.XLOOKUP(A1124,Hoja3!$C$3:$C$1124,Hoja3!$B$3:$B$1124)</f>
        <v>MAGDALENA</v>
      </c>
      <c r="D1124" s="40" t="str">
        <f t="shared" si="35"/>
        <v>980</v>
      </c>
      <c r="E1124" s="39" t="str">
        <f>+_xlfn.XLOOKUP(A1124,Hoja3!$C$3:$C$1124,Hoja3!$D$3:$D$1124)</f>
        <v>ZONA BANANERA</v>
      </c>
      <c r="F1124" s="41">
        <v>43916</v>
      </c>
    </row>
  </sheetData>
  <autoFilter ref="A1:F1" xr:uid="{81F32666-F94E-486C-9743-1E9AA25B1683}">
    <sortState xmlns:xlrd2="http://schemas.microsoft.com/office/spreadsheetml/2017/richdata2" ref="A2:F1124">
      <sortCondition ref="D1"/>
    </sortState>
  </autoFilter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B3CDA-A636-45CA-936E-393EE7AA386D}">
  <dimension ref="A1:G1124"/>
  <sheetViews>
    <sheetView workbookViewId="0">
      <selection activeCell="C1" sqref="C1"/>
    </sheetView>
  </sheetViews>
  <sheetFormatPr baseColWidth="10" defaultRowHeight="15" x14ac:dyDescent="0.25"/>
  <sheetData>
    <row r="1" spans="1:7" x14ac:dyDescent="0.25">
      <c r="A1" s="43" t="s">
        <v>2188</v>
      </c>
      <c r="B1" s="43"/>
      <c r="C1" s="28" t="s">
        <v>2189</v>
      </c>
      <c r="D1" s="27"/>
      <c r="E1" s="44" t="s">
        <v>2190</v>
      </c>
      <c r="F1" s="46" t="s">
        <v>2191</v>
      </c>
      <c r="G1" s="47"/>
    </row>
    <row r="2" spans="1:7" x14ac:dyDescent="0.25">
      <c r="A2" s="2" t="s">
        <v>2192</v>
      </c>
      <c r="B2" s="3" t="s">
        <v>2193</v>
      </c>
      <c r="C2" s="29" t="s">
        <v>2192</v>
      </c>
      <c r="D2" s="3" t="s">
        <v>2193</v>
      </c>
      <c r="E2" s="45"/>
      <c r="F2" s="4" t="s">
        <v>2194</v>
      </c>
      <c r="G2" s="4" t="s">
        <v>2195</v>
      </c>
    </row>
    <row r="3" spans="1:7" x14ac:dyDescent="0.25">
      <c r="A3" s="5" t="s">
        <v>2187</v>
      </c>
      <c r="B3" s="6" t="s">
        <v>1043</v>
      </c>
      <c r="C3" s="30" t="s">
        <v>6</v>
      </c>
      <c r="D3" s="6" t="s">
        <v>1044</v>
      </c>
      <c r="E3" s="7" t="s">
        <v>2189</v>
      </c>
      <c r="F3" s="8" t="s">
        <v>2196</v>
      </c>
      <c r="G3" s="8" t="s">
        <v>2197</v>
      </c>
    </row>
    <row r="4" spans="1:7" x14ac:dyDescent="0.25">
      <c r="A4" s="9" t="s">
        <v>2187</v>
      </c>
      <c r="B4" s="10" t="s">
        <v>1043</v>
      </c>
      <c r="C4" s="31" t="s">
        <v>7</v>
      </c>
      <c r="D4" s="10" t="s">
        <v>1045</v>
      </c>
      <c r="E4" s="11" t="s">
        <v>2189</v>
      </c>
      <c r="F4" s="12" t="s">
        <v>2198</v>
      </c>
      <c r="G4" s="12" t="s">
        <v>2199</v>
      </c>
    </row>
    <row r="5" spans="1:7" x14ac:dyDescent="0.25">
      <c r="A5" s="13" t="s">
        <v>2187</v>
      </c>
      <c r="B5" s="14" t="s">
        <v>1043</v>
      </c>
      <c r="C5" s="32" t="s">
        <v>8</v>
      </c>
      <c r="D5" s="14" t="s">
        <v>1046</v>
      </c>
      <c r="E5" s="15" t="s">
        <v>2189</v>
      </c>
      <c r="F5" s="16" t="s">
        <v>2200</v>
      </c>
      <c r="G5" s="16" t="s">
        <v>2201</v>
      </c>
    </row>
    <row r="6" spans="1:7" x14ac:dyDescent="0.25">
      <c r="A6" s="9" t="s">
        <v>2187</v>
      </c>
      <c r="B6" s="10" t="s">
        <v>1043</v>
      </c>
      <c r="C6" s="31" t="s">
        <v>9</v>
      </c>
      <c r="D6" s="10" t="s">
        <v>1047</v>
      </c>
      <c r="E6" s="11" t="s">
        <v>2189</v>
      </c>
      <c r="F6" s="12" t="s">
        <v>2202</v>
      </c>
      <c r="G6" s="12" t="s">
        <v>2203</v>
      </c>
    </row>
    <row r="7" spans="1:7" x14ac:dyDescent="0.25">
      <c r="A7" s="13" t="s">
        <v>2187</v>
      </c>
      <c r="B7" s="14" t="s">
        <v>1043</v>
      </c>
      <c r="C7" s="32" t="s">
        <v>10</v>
      </c>
      <c r="D7" s="14" t="s">
        <v>1048</v>
      </c>
      <c r="E7" s="15" t="s">
        <v>2189</v>
      </c>
      <c r="F7" s="16" t="s">
        <v>2204</v>
      </c>
      <c r="G7" s="16" t="s">
        <v>2205</v>
      </c>
    </row>
    <row r="8" spans="1:7" x14ac:dyDescent="0.25">
      <c r="A8" s="9" t="s">
        <v>2187</v>
      </c>
      <c r="B8" s="10" t="s">
        <v>1043</v>
      </c>
      <c r="C8" s="31" t="s">
        <v>11</v>
      </c>
      <c r="D8" s="10" t="s">
        <v>1049</v>
      </c>
      <c r="E8" s="11" t="s">
        <v>2189</v>
      </c>
      <c r="F8" s="12" t="s">
        <v>2206</v>
      </c>
      <c r="G8" s="12" t="s">
        <v>2207</v>
      </c>
    </row>
    <row r="9" spans="1:7" x14ac:dyDescent="0.25">
      <c r="A9" s="13" t="s">
        <v>2187</v>
      </c>
      <c r="B9" s="14" t="s">
        <v>1043</v>
      </c>
      <c r="C9" s="32" t="s">
        <v>12</v>
      </c>
      <c r="D9" s="14" t="s">
        <v>1050</v>
      </c>
      <c r="E9" s="15" t="s">
        <v>2189</v>
      </c>
      <c r="F9" s="16" t="s">
        <v>2208</v>
      </c>
      <c r="G9" s="16" t="s">
        <v>2209</v>
      </c>
    </row>
    <row r="10" spans="1:7" ht="24" x14ac:dyDescent="0.25">
      <c r="A10" s="9" t="s">
        <v>2187</v>
      </c>
      <c r="B10" s="10" t="s">
        <v>1043</v>
      </c>
      <c r="C10" s="31" t="s">
        <v>13</v>
      </c>
      <c r="D10" s="10" t="s">
        <v>1051</v>
      </c>
      <c r="E10" s="11" t="s">
        <v>2189</v>
      </c>
      <c r="F10" s="12" t="s">
        <v>2210</v>
      </c>
      <c r="G10" s="12" t="s">
        <v>2211</v>
      </c>
    </row>
    <row r="11" spans="1:7" ht="24" x14ac:dyDescent="0.25">
      <c r="A11" s="13" t="s">
        <v>2187</v>
      </c>
      <c r="B11" s="14" t="s">
        <v>1043</v>
      </c>
      <c r="C11" s="32" t="s">
        <v>14</v>
      </c>
      <c r="D11" s="14" t="s">
        <v>1052</v>
      </c>
      <c r="E11" s="15" t="s">
        <v>2189</v>
      </c>
      <c r="F11" s="16" t="s">
        <v>2212</v>
      </c>
      <c r="G11" s="16" t="s">
        <v>2213</v>
      </c>
    </row>
    <row r="12" spans="1:7" x14ac:dyDescent="0.25">
      <c r="A12" s="9" t="s">
        <v>2187</v>
      </c>
      <c r="B12" s="10" t="s">
        <v>1043</v>
      </c>
      <c r="C12" s="31" t="s">
        <v>15</v>
      </c>
      <c r="D12" s="10" t="s">
        <v>1053</v>
      </c>
      <c r="E12" s="11" t="s">
        <v>2189</v>
      </c>
      <c r="F12" s="12" t="s">
        <v>2214</v>
      </c>
      <c r="G12" s="12" t="s">
        <v>2215</v>
      </c>
    </row>
    <row r="13" spans="1:7" ht="36" x14ac:dyDescent="0.25">
      <c r="A13" s="13" t="s">
        <v>2187</v>
      </c>
      <c r="B13" s="14" t="s">
        <v>1043</v>
      </c>
      <c r="C13" s="32" t="s">
        <v>16</v>
      </c>
      <c r="D13" s="14" t="s">
        <v>1054</v>
      </c>
      <c r="E13" s="15" t="s">
        <v>2189</v>
      </c>
      <c r="F13" s="16" t="s">
        <v>2216</v>
      </c>
      <c r="G13" s="16" t="s">
        <v>2217</v>
      </c>
    </row>
    <row r="14" spans="1:7" x14ac:dyDescent="0.25">
      <c r="A14" s="9" t="s">
        <v>2187</v>
      </c>
      <c r="B14" s="10" t="s">
        <v>1043</v>
      </c>
      <c r="C14" s="31" t="s">
        <v>17</v>
      </c>
      <c r="D14" s="10" t="s">
        <v>1055</v>
      </c>
      <c r="E14" s="11" t="s">
        <v>2189</v>
      </c>
      <c r="F14" s="12" t="s">
        <v>2218</v>
      </c>
      <c r="G14" s="12" t="s">
        <v>2219</v>
      </c>
    </row>
    <row r="15" spans="1:7" x14ac:dyDescent="0.25">
      <c r="A15" s="13" t="s">
        <v>2187</v>
      </c>
      <c r="B15" s="14" t="s">
        <v>1043</v>
      </c>
      <c r="C15" s="32" t="s">
        <v>18</v>
      </c>
      <c r="D15" s="14" t="s">
        <v>1056</v>
      </c>
      <c r="E15" s="15" t="s">
        <v>2189</v>
      </c>
      <c r="F15" s="16" t="s">
        <v>2220</v>
      </c>
      <c r="G15" s="16" t="s">
        <v>2221</v>
      </c>
    </row>
    <row r="16" spans="1:7" x14ac:dyDescent="0.25">
      <c r="A16" s="9" t="s">
        <v>2187</v>
      </c>
      <c r="B16" s="10" t="s">
        <v>1043</v>
      </c>
      <c r="C16" s="31" t="s">
        <v>19</v>
      </c>
      <c r="D16" s="10" t="s">
        <v>1057</v>
      </c>
      <c r="E16" s="11" t="s">
        <v>2189</v>
      </c>
      <c r="F16" s="12" t="s">
        <v>2222</v>
      </c>
      <c r="G16" s="12" t="s">
        <v>2223</v>
      </c>
    </row>
    <row r="17" spans="1:7" x14ac:dyDescent="0.25">
      <c r="A17" s="13" t="s">
        <v>2187</v>
      </c>
      <c r="B17" s="14" t="s">
        <v>1043</v>
      </c>
      <c r="C17" s="32" t="s">
        <v>20</v>
      </c>
      <c r="D17" s="14" t="s">
        <v>1058</v>
      </c>
      <c r="E17" s="15" t="s">
        <v>2189</v>
      </c>
      <c r="F17" s="16" t="s">
        <v>2224</v>
      </c>
      <c r="G17" s="16" t="s">
        <v>2225</v>
      </c>
    </row>
    <row r="18" spans="1:7" x14ac:dyDescent="0.25">
      <c r="A18" s="9" t="s">
        <v>2187</v>
      </c>
      <c r="B18" s="10" t="s">
        <v>1043</v>
      </c>
      <c r="C18" s="31" t="s">
        <v>21</v>
      </c>
      <c r="D18" s="10" t="s">
        <v>1059</v>
      </c>
      <c r="E18" s="11" t="s">
        <v>2189</v>
      </c>
      <c r="F18" s="12" t="s">
        <v>2226</v>
      </c>
      <c r="G18" s="12" t="s">
        <v>2227</v>
      </c>
    </row>
    <row r="19" spans="1:7" x14ac:dyDescent="0.25">
      <c r="A19" s="13" t="s">
        <v>2187</v>
      </c>
      <c r="B19" s="14" t="s">
        <v>1043</v>
      </c>
      <c r="C19" s="32" t="s">
        <v>22</v>
      </c>
      <c r="D19" s="14" t="s">
        <v>1060</v>
      </c>
      <c r="E19" s="15" t="s">
        <v>2189</v>
      </c>
      <c r="F19" s="16" t="s">
        <v>2228</v>
      </c>
      <c r="G19" s="16" t="s">
        <v>2229</v>
      </c>
    </row>
    <row r="20" spans="1:7" x14ac:dyDescent="0.25">
      <c r="A20" s="9" t="s">
        <v>2187</v>
      </c>
      <c r="B20" s="10" t="s">
        <v>1043</v>
      </c>
      <c r="C20" s="31" t="s">
        <v>23</v>
      </c>
      <c r="D20" s="10" t="s">
        <v>1061</v>
      </c>
      <c r="E20" s="11" t="s">
        <v>2189</v>
      </c>
      <c r="F20" s="12" t="s">
        <v>2230</v>
      </c>
      <c r="G20" s="12" t="s">
        <v>2231</v>
      </c>
    </row>
    <row r="21" spans="1:7" x14ac:dyDescent="0.25">
      <c r="A21" s="13" t="s">
        <v>2187</v>
      </c>
      <c r="B21" s="14" t="s">
        <v>1043</v>
      </c>
      <c r="C21" s="32" t="s">
        <v>24</v>
      </c>
      <c r="D21" s="14" t="s">
        <v>1062</v>
      </c>
      <c r="E21" s="15" t="s">
        <v>2189</v>
      </c>
      <c r="F21" s="16" t="s">
        <v>2232</v>
      </c>
      <c r="G21" s="16" t="s">
        <v>2233</v>
      </c>
    </row>
    <row r="22" spans="1:7" x14ac:dyDescent="0.25">
      <c r="A22" s="9" t="s">
        <v>2187</v>
      </c>
      <c r="B22" s="10" t="s">
        <v>1043</v>
      </c>
      <c r="C22" s="31" t="s">
        <v>25</v>
      </c>
      <c r="D22" s="10" t="s">
        <v>1063</v>
      </c>
      <c r="E22" s="11" t="s">
        <v>2189</v>
      </c>
      <c r="F22" s="12" t="s">
        <v>2234</v>
      </c>
      <c r="G22" s="12" t="s">
        <v>2235</v>
      </c>
    </row>
    <row r="23" spans="1:7" x14ac:dyDescent="0.25">
      <c r="A23" s="13" t="s">
        <v>2187</v>
      </c>
      <c r="B23" s="14" t="s">
        <v>1043</v>
      </c>
      <c r="C23" s="32" t="s">
        <v>26</v>
      </c>
      <c r="D23" s="14" t="s">
        <v>1064</v>
      </c>
      <c r="E23" s="15" t="s">
        <v>2189</v>
      </c>
      <c r="F23" s="16" t="s">
        <v>2236</v>
      </c>
      <c r="G23" s="16" t="s">
        <v>2237</v>
      </c>
    </row>
    <row r="24" spans="1:7" ht="24" x14ac:dyDescent="0.25">
      <c r="A24" s="9" t="s">
        <v>2187</v>
      </c>
      <c r="B24" s="10" t="s">
        <v>1043</v>
      </c>
      <c r="C24" s="31" t="s">
        <v>27</v>
      </c>
      <c r="D24" s="10" t="s">
        <v>1065</v>
      </c>
      <c r="E24" s="11" t="s">
        <v>2189</v>
      </c>
      <c r="F24" s="12" t="s">
        <v>2238</v>
      </c>
      <c r="G24" s="12" t="s">
        <v>2239</v>
      </c>
    </row>
    <row r="25" spans="1:7" x14ac:dyDescent="0.25">
      <c r="A25" s="13" t="s">
        <v>2187</v>
      </c>
      <c r="B25" s="14" t="s">
        <v>1043</v>
      </c>
      <c r="C25" s="32" t="s">
        <v>28</v>
      </c>
      <c r="D25" s="14" t="s">
        <v>1066</v>
      </c>
      <c r="E25" s="15" t="s">
        <v>2189</v>
      </c>
      <c r="F25" s="16" t="s">
        <v>2240</v>
      </c>
      <c r="G25" s="16" t="s">
        <v>2241</v>
      </c>
    </row>
    <row r="26" spans="1:7" x14ac:dyDescent="0.25">
      <c r="A26" s="9" t="s">
        <v>2187</v>
      </c>
      <c r="B26" s="10" t="s">
        <v>1043</v>
      </c>
      <c r="C26" s="31" t="s">
        <v>29</v>
      </c>
      <c r="D26" s="10" t="s">
        <v>1067</v>
      </c>
      <c r="E26" s="11" t="s">
        <v>2189</v>
      </c>
      <c r="F26" s="12" t="s">
        <v>2242</v>
      </c>
      <c r="G26" s="12" t="s">
        <v>2243</v>
      </c>
    </row>
    <row r="27" spans="1:7" x14ac:dyDescent="0.25">
      <c r="A27" s="13" t="s">
        <v>2187</v>
      </c>
      <c r="B27" s="14" t="s">
        <v>1043</v>
      </c>
      <c r="C27" s="32" t="s">
        <v>30</v>
      </c>
      <c r="D27" s="14" t="s">
        <v>1068</v>
      </c>
      <c r="E27" s="15" t="s">
        <v>2189</v>
      </c>
      <c r="F27" s="16" t="s">
        <v>2244</v>
      </c>
      <c r="G27" s="16" t="s">
        <v>2245</v>
      </c>
    </row>
    <row r="28" spans="1:7" x14ac:dyDescent="0.25">
      <c r="A28" s="9" t="s">
        <v>2187</v>
      </c>
      <c r="B28" s="10" t="s">
        <v>1043</v>
      </c>
      <c r="C28" s="31" t="s">
        <v>31</v>
      </c>
      <c r="D28" s="10" t="s">
        <v>1069</v>
      </c>
      <c r="E28" s="11" t="s">
        <v>2189</v>
      </c>
      <c r="F28" s="12" t="s">
        <v>2246</v>
      </c>
      <c r="G28" s="12" t="s">
        <v>2247</v>
      </c>
    </row>
    <row r="29" spans="1:7" x14ac:dyDescent="0.25">
      <c r="A29" s="13" t="s">
        <v>2187</v>
      </c>
      <c r="B29" s="14" t="s">
        <v>1043</v>
      </c>
      <c r="C29" s="32" t="s">
        <v>32</v>
      </c>
      <c r="D29" s="14" t="s">
        <v>1070</v>
      </c>
      <c r="E29" s="15" t="s">
        <v>2189</v>
      </c>
      <c r="F29" s="16" t="s">
        <v>2248</v>
      </c>
      <c r="G29" s="16" t="s">
        <v>2249</v>
      </c>
    </row>
    <row r="30" spans="1:7" ht="24" x14ac:dyDescent="0.25">
      <c r="A30" s="9" t="s">
        <v>2187</v>
      </c>
      <c r="B30" s="10" t="s">
        <v>1043</v>
      </c>
      <c r="C30" s="31" t="s">
        <v>33</v>
      </c>
      <c r="D30" s="10" t="s">
        <v>1071</v>
      </c>
      <c r="E30" s="11" t="s">
        <v>2189</v>
      </c>
      <c r="F30" s="12" t="s">
        <v>2250</v>
      </c>
      <c r="G30" s="12" t="s">
        <v>2251</v>
      </c>
    </row>
    <row r="31" spans="1:7" ht="24" x14ac:dyDescent="0.25">
      <c r="A31" s="13" t="s">
        <v>2187</v>
      </c>
      <c r="B31" s="14" t="s">
        <v>1043</v>
      </c>
      <c r="C31" s="32" t="s">
        <v>34</v>
      </c>
      <c r="D31" s="14" t="s">
        <v>1072</v>
      </c>
      <c r="E31" s="15" t="s">
        <v>2189</v>
      </c>
      <c r="F31" s="16" t="s">
        <v>2252</v>
      </c>
      <c r="G31" s="16" t="s">
        <v>2253</v>
      </c>
    </row>
    <row r="32" spans="1:7" x14ac:dyDescent="0.25">
      <c r="A32" s="9" t="s">
        <v>2187</v>
      </c>
      <c r="B32" s="10" t="s">
        <v>1043</v>
      </c>
      <c r="C32" s="31" t="s">
        <v>35</v>
      </c>
      <c r="D32" s="10" t="s">
        <v>2150</v>
      </c>
      <c r="E32" s="11" t="s">
        <v>2189</v>
      </c>
      <c r="F32" s="12" t="s">
        <v>2254</v>
      </c>
      <c r="G32" s="12" t="s">
        <v>2255</v>
      </c>
    </row>
    <row r="33" spans="1:7" x14ac:dyDescent="0.25">
      <c r="A33" s="13" t="s">
        <v>2187</v>
      </c>
      <c r="B33" s="14" t="s">
        <v>1043</v>
      </c>
      <c r="C33" s="32" t="s">
        <v>36</v>
      </c>
      <c r="D33" s="14" t="s">
        <v>1073</v>
      </c>
      <c r="E33" s="15" t="s">
        <v>2189</v>
      </c>
      <c r="F33" s="16" t="s">
        <v>2256</v>
      </c>
      <c r="G33" s="16" t="s">
        <v>2257</v>
      </c>
    </row>
    <row r="34" spans="1:7" x14ac:dyDescent="0.25">
      <c r="A34" s="9" t="s">
        <v>2187</v>
      </c>
      <c r="B34" s="10" t="s">
        <v>1043</v>
      </c>
      <c r="C34" s="31" t="s">
        <v>37</v>
      </c>
      <c r="D34" s="10" t="s">
        <v>1074</v>
      </c>
      <c r="E34" s="11" t="s">
        <v>2189</v>
      </c>
      <c r="F34" s="12" t="s">
        <v>2258</v>
      </c>
      <c r="G34" s="12" t="s">
        <v>2259</v>
      </c>
    </row>
    <row r="35" spans="1:7" ht="24" x14ac:dyDescent="0.25">
      <c r="A35" s="13" t="s">
        <v>2187</v>
      </c>
      <c r="B35" s="14" t="s">
        <v>1043</v>
      </c>
      <c r="C35" s="32" t="s">
        <v>38</v>
      </c>
      <c r="D35" s="14" t="s">
        <v>1075</v>
      </c>
      <c r="E35" s="15" t="s">
        <v>2189</v>
      </c>
      <c r="F35" s="16" t="s">
        <v>2260</v>
      </c>
      <c r="G35" s="16" t="s">
        <v>2261</v>
      </c>
    </row>
    <row r="36" spans="1:7" x14ac:dyDescent="0.25">
      <c r="A36" s="9" t="s">
        <v>2187</v>
      </c>
      <c r="B36" s="10" t="s">
        <v>1043</v>
      </c>
      <c r="C36" s="31" t="s">
        <v>39</v>
      </c>
      <c r="D36" s="10" t="s">
        <v>1076</v>
      </c>
      <c r="E36" s="11" t="s">
        <v>2189</v>
      </c>
      <c r="F36" s="12" t="s">
        <v>2262</v>
      </c>
      <c r="G36" s="12" t="s">
        <v>2263</v>
      </c>
    </row>
    <row r="37" spans="1:7" x14ac:dyDescent="0.25">
      <c r="A37" s="13" t="s">
        <v>2187</v>
      </c>
      <c r="B37" s="14" t="s">
        <v>1043</v>
      </c>
      <c r="C37" s="32" t="s">
        <v>40</v>
      </c>
      <c r="D37" s="14" t="s">
        <v>1077</v>
      </c>
      <c r="E37" s="15" t="s">
        <v>2189</v>
      </c>
      <c r="F37" s="16" t="s">
        <v>2264</v>
      </c>
      <c r="G37" s="16" t="s">
        <v>2265</v>
      </c>
    </row>
    <row r="38" spans="1:7" ht="24" x14ac:dyDescent="0.25">
      <c r="A38" s="9" t="s">
        <v>2187</v>
      </c>
      <c r="B38" s="10" t="s">
        <v>1043</v>
      </c>
      <c r="C38" s="31" t="s">
        <v>41</v>
      </c>
      <c r="D38" s="10" t="s">
        <v>1078</v>
      </c>
      <c r="E38" s="11" t="s">
        <v>2189</v>
      </c>
      <c r="F38" s="12" t="s">
        <v>2266</v>
      </c>
      <c r="G38" s="12" t="s">
        <v>2267</v>
      </c>
    </row>
    <row r="39" spans="1:7" x14ac:dyDescent="0.25">
      <c r="A39" s="13" t="s">
        <v>2187</v>
      </c>
      <c r="B39" s="14" t="s">
        <v>1043</v>
      </c>
      <c r="C39" s="32" t="s">
        <v>42</v>
      </c>
      <c r="D39" s="14" t="s">
        <v>1079</v>
      </c>
      <c r="E39" s="15" t="s">
        <v>2189</v>
      </c>
      <c r="F39" s="16" t="s">
        <v>2268</v>
      </c>
      <c r="G39" s="16" t="s">
        <v>2269</v>
      </c>
    </row>
    <row r="40" spans="1:7" x14ac:dyDescent="0.25">
      <c r="A40" s="9" t="s">
        <v>2187</v>
      </c>
      <c r="B40" s="10" t="s">
        <v>1043</v>
      </c>
      <c r="C40" s="31" t="s">
        <v>43</v>
      </c>
      <c r="D40" s="10" t="s">
        <v>1080</v>
      </c>
      <c r="E40" s="11" t="s">
        <v>2189</v>
      </c>
      <c r="F40" s="12" t="s">
        <v>2270</v>
      </c>
      <c r="G40" s="12" t="s">
        <v>2271</v>
      </c>
    </row>
    <row r="41" spans="1:7" ht="24" x14ac:dyDescent="0.25">
      <c r="A41" s="13" t="s">
        <v>2187</v>
      </c>
      <c r="B41" s="14" t="s">
        <v>1043</v>
      </c>
      <c r="C41" s="32" t="s">
        <v>44</v>
      </c>
      <c r="D41" s="14" t="s">
        <v>1081</v>
      </c>
      <c r="E41" s="15" t="s">
        <v>2189</v>
      </c>
      <c r="F41" s="16" t="s">
        <v>2272</v>
      </c>
      <c r="G41" s="16" t="s">
        <v>2273</v>
      </c>
    </row>
    <row r="42" spans="1:7" x14ac:dyDescent="0.25">
      <c r="A42" s="9" t="s">
        <v>2187</v>
      </c>
      <c r="B42" s="10" t="s">
        <v>1043</v>
      </c>
      <c r="C42" s="31" t="s">
        <v>45</v>
      </c>
      <c r="D42" s="10" t="s">
        <v>1082</v>
      </c>
      <c r="E42" s="11" t="s">
        <v>2189</v>
      </c>
      <c r="F42" s="12" t="s">
        <v>2274</v>
      </c>
      <c r="G42" s="12" t="s">
        <v>2275</v>
      </c>
    </row>
    <row r="43" spans="1:7" ht="24" x14ac:dyDescent="0.25">
      <c r="A43" s="13" t="s">
        <v>2187</v>
      </c>
      <c r="B43" s="14" t="s">
        <v>1043</v>
      </c>
      <c r="C43" s="32" t="s">
        <v>46</v>
      </c>
      <c r="D43" s="14" t="s">
        <v>1083</v>
      </c>
      <c r="E43" s="15" t="s">
        <v>2189</v>
      </c>
      <c r="F43" s="16" t="s">
        <v>2276</v>
      </c>
      <c r="G43" s="16" t="s">
        <v>2277</v>
      </c>
    </row>
    <row r="44" spans="1:7" x14ac:dyDescent="0.25">
      <c r="A44" s="9" t="s">
        <v>2187</v>
      </c>
      <c r="B44" s="10" t="s">
        <v>1043</v>
      </c>
      <c r="C44" s="31" t="s">
        <v>47</v>
      </c>
      <c r="D44" s="10" t="s">
        <v>1084</v>
      </c>
      <c r="E44" s="11" t="s">
        <v>2189</v>
      </c>
      <c r="F44" s="12" t="s">
        <v>2278</v>
      </c>
      <c r="G44" s="12" t="s">
        <v>2279</v>
      </c>
    </row>
    <row r="45" spans="1:7" x14ac:dyDescent="0.25">
      <c r="A45" s="13" t="s">
        <v>2187</v>
      </c>
      <c r="B45" s="14" t="s">
        <v>1043</v>
      </c>
      <c r="C45" s="32" t="s">
        <v>48</v>
      </c>
      <c r="D45" s="14" t="s">
        <v>1085</v>
      </c>
      <c r="E45" s="15" t="s">
        <v>2189</v>
      </c>
      <c r="F45" s="16" t="s">
        <v>2280</v>
      </c>
      <c r="G45" s="16" t="s">
        <v>2281</v>
      </c>
    </row>
    <row r="46" spans="1:7" x14ac:dyDescent="0.25">
      <c r="A46" s="9" t="s">
        <v>2187</v>
      </c>
      <c r="B46" s="10" t="s">
        <v>1043</v>
      </c>
      <c r="C46" s="31" t="s">
        <v>49</v>
      </c>
      <c r="D46" s="10" t="s">
        <v>1086</v>
      </c>
      <c r="E46" s="11" t="s">
        <v>2189</v>
      </c>
      <c r="F46" s="12" t="s">
        <v>2282</v>
      </c>
      <c r="G46" s="12" t="s">
        <v>2283</v>
      </c>
    </row>
    <row r="47" spans="1:7" x14ac:dyDescent="0.25">
      <c r="A47" s="13" t="s">
        <v>2187</v>
      </c>
      <c r="B47" s="14" t="s">
        <v>1043</v>
      </c>
      <c r="C47" s="32" t="s">
        <v>50</v>
      </c>
      <c r="D47" s="14" t="s">
        <v>1087</v>
      </c>
      <c r="E47" s="15" t="s">
        <v>2189</v>
      </c>
      <c r="F47" s="16" t="s">
        <v>2284</v>
      </c>
      <c r="G47" s="16" t="s">
        <v>2285</v>
      </c>
    </row>
    <row r="48" spans="1:7" ht="24" x14ac:dyDescent="0.25">
      <c r="A48" s="9" t="s">
        <v>2187</v>
      </c>
      <c r="B48" s="10" t="s">
        <v>1043</v>
      </c>
      <c r="C48" s="31" t="s">
        <v>51</v>
      </c>
      <c r="D48" s="10" t="s">
        <v>1088</v>
      </c>
      <c r="E48" s="11" t="s">
        <v>2189</v>
      </c>
      <c r="F48" s="12" t="s">
        <v>2286</v>
      </c>
      <c r="G48" s="12" t="s">
        <v>2287</v>
      </c>
    </row>
    <row r="49" spans="1:7" x14ac:dyDescent="0.25">
      <c r="A49" s="13" t="s">
        <v>2187</v>
      </c>
      <c r="B49" s="14" t="s">
        <v>1043</v>
      </c>
      <c r="C49" s="32" t="s">
        <v>52</v>
      </c>
      <c r="D49" s="14" t="s">
        <v>1089</v>
      </c>
      <c r="E49" s="15" t="s">
        <v>2189</v>
      </c>
      <c r="F49" s="16" t="s">
        <v>2288</v>
      </c>
      <c r="G49" s="16" t="s">
        <v>2289</v>
      </c>
    </row>
    <row r="50" spans="1:7" x14ac:dyDescent="0.25">
      <c r="A50" s="9" t="s">
        <v>2187</v>
      </c>
      <c r="B50" s="10" t="s">
        <v>1043</v>
      </c>
      <c r="C50" s="31" t="s">
        <v>53</v>
      </c>
      <c r="D50" s="10" t="s">
        <v>1090</v>
      </c>
      <c r="E50" s="11" t="s">
        <v>2189</v>
      </c>
      <c r="F50" s="12" t="s">
        <v>2290</v>
      </c>
      <c r="G50" s="12" t="s">
        <v>2291</v>
      </c>
    </row>
    <row r="51" spans="1:7" x14ac:dyDescent="0.25">
      <c r="A51" s="13" t="s">
        <v>2187</v>
      </c>
      <c r="B51" s="14" t="s">
        <v>1043</v>
      </c>
      <c r="C51" s="32" t="s">
        <v>54</v>
      </c>
      <c r="D51" s="14" t="s">
        <v>1091</v>
      </c>
      <c r="E51" s="15" t="s">
        <v>2189</v>
      </c>
      <c r="F51" s="16" t="s">
        <v>2292</v>
      </c>
      <c r="G51" s="16" t="s">
        <v>2293</v>
      </c>
    </row>
    <row r="52" spans="1:7" x14ac:dyDescent="0.25">
      <c r="A52" s="9" t="s">
        <v>2187</v>
      </c>
      <c r="B52" s="10" t="s">
        <v>1043</v>
      </c>
      <c r="C52" s="31" t="s">
        <v>55</v>
      </c>
      <c r="D52" s="10" t="s">
        <v>1092</v>
      </c>
      <c r="E52" s="11" t="s">
        <v>2189</v>
      </c>
      <c r="F52" s="12" t="s">
        <v>2294</v>
      </c>
      <c r="G52" s="12" t="s">
        <v>2295</v>
      </c>
    </row>
    <row r="53" spans="1:7" x14ac:dyDescent="0.25">
      <c r="A53" s="13" t="s">
        <v>2187</v>
      </c>
      <c r="B53" s="14" t="s">
        <v>1043</v>
      </c>
      <c r="C53" s="32" t="s">
        <v>56</v>
      </c>
      <c r="D53" s="14" t="s">
        <v>1093</v>
      </c>
      <c r="E53" s="15" t="s">
        <v>2189</v>
      </c>
      <c r="F53" s="16" t="s">
        <v>2296</v>
      </c>
      <c r="G53" s="16" t="s">
        <v>2297</v>
      </c>
    </row>
    <row r="54" spans="1:7" ht="24" x14ac:dyDescent="0.25">
      <c r="A54" s="9" t="s">
        <v>2187</v>
      </c>
      <c r="B54" s="10" t="s">
        <v>1043</v>
      </c>
      <c r="C54" s="31" t="s">
        <v>57</v>
      </c>
      <c r="D54" s="10" t="s">
        <v>1094</v>
      </c>
      <c r="E54" s="11" t="s">
        <v>2189</v>
      </c>
      <c r="F54" s="12" t="s">
        <v>2298</v>
      </c>
      <c r="G54" s="12" t="s">
        <v>2299</v>
      </c>
    </row>
    <row r="55" spans="1:7" x14ac:dyDescent="0.25">
      <c r="A55" s="13" t="s">
        <v>2187</v>
      </c>
      <c r="B55" s="14" t="s">
        <v>1043</v>
      </c>
      <c r="C55" s="32" t="s">
        <v>58</v>
      </c>
      <c r="D55" s="14" t="s">
        <v>1095</v>
      </c>
      <c r="E55" s="15" t="s">
        <v>2189</v>
      </c>
      <c r="F55" s="16" t="s">
        <v>2300</v>
      </c>
      <c r="G55" s="16" t="s">
        <v>2301</v>
      </c>
    </row>
    <row r="56" spans="1:7" x14ac:dyDescent="0.25">
      <c r="A56" s="9" t="s">
        <v>2187</v>
      </c>
      <c r="B56" s="10" t="s">
        <v>1043</v>
      </c>
      <c r="C56" s="31" t="s">
        <v>59</v>
      </c>
      <c r="D56" s="10" t="s">
        <v>1096</v>
      </c>
      <c r="E56" s="11" t="s">
        <v>2189</v>
      </c>
      <c r="F56" s="12" t="s">
        <v>2302</v>
      </c>
      <c r="G56" s="12" t="s">
        <v>2303</v>
      </c>
    </row>
    <row r="57" spans="1:7" x14ac:dyDescent="0.25">
      <c r="A57" s="13" t="s">
        <v>2187</v>
      </c>
      <c r="B57" s="14" t="s">
        <v>1043</v>
      </c>
      <c r="C57" s="32" t="s">
        <v>60</v>
      </c>
      <c r="D57" s="14" t="s">
        <v>1097</v>
      </c>
      <c r="E57" s="15" t="s">
        <v>2189</v>
      </c>
      <c r="F57" s="16" t="s">
        <v>2304</v>
      </c>
      <c r="G57" s="16" t="s">
        <v>2305</v>
      </c>
    </row>
    <row r="58" spans="1:7" x14ac:dyDescent="0.25">
      <c r="A58" s="9" t="s">
        <v>2187</v>
      </c>
      <c r="B58" s="10" t="s">
        <v>1043</v>
      </c>
      <c r="C58" s="31" t="s">
        <v>61</v>
      </c>
      <c r="D58" s="10" t="s">
        <v>1098</v>
      </c>
      <c r="E58" s="11" t="s">
        <v>2189</v>
      </c>
      <c r="F58" s="12" t="s">
        <v>2306</v>
      </c>
      <c r="G58" s="12" t="s">
        <v>2307</v>
      </c>
    </row>
    <row r="59" spans="1:7" x14ac:dyDescent="0.25">
      <c r="A59" s="13" t="s">
        <v>2187</v>
      </c>
      <c r="B59" s="14" t="s">
        <v>1043</v>
      </c>
      <c r="C59" s="32" t="s">
        <v>62</v>
      </c>
      <c r="D59" s="14" t="s">
        <v>1099</v>
      </c>
      <c r="E59" s="15" t="s">
        <v>2189</v>
      </c>
      <c r="F59" s="16" t="s">
        <v>2308</v>
      </c>
      <c r="G59" s="16" t="s">
        <v>2309</v>
      </c>
    </row>
    <row r="60" spans="1:7" x14ac:dyDescent="0.25">
      <c r="A60" s="9" t="s">
        <v>2187</v>
      </c>
      <c r="B60" s="10" t="s">
        <v>1043</v>
      </c>
      <c r="C60" s="31" t="s">
        <v>63</v>
      </c>
      <c r="D60" s="10" t="s">
        <v>1100</v>
      </c>
      <c r="E60" s="11" t="s">
        <v>2189</v>
      </c>
      <c r="F60" s="12" t="s">
        <v>2310</v>
      </c>
      <c r="G60" s="12" t="s">
        <v>2311</v>
      </c>
    </row>
    <row r="61" spans="1:7" x14ac:dyDescent="0.25">
      <c r="A61" s="13" t="s">
        <v>2187</v>
      </c>
      <c r="B61" s="14" t="s">
        <v>1043</v>
      </c>
      <c r="C61" s="32" t="s">
        <v>64</v>
      </c>
      <c r="D61" s="14" t="s">
        <v>1101</v>
      </c>
      <c r="E61" s="15" t="s">
        <v>2189</v>
      </c>
      <c r="F61" s="16" t="s">
        <v>2312</v>
      </c>
      <c r="G61" s="16" t="s">
        <v>2313</v>
      </c>
    </row>
    <row r="62" spans="1:7" x14ac:dyDescent="0.25">
      <c r="A62" s="9" t="s">
        <v>2187</v>
      </c>
      <c r="B62" s="10" t="s">
        <v>1043</v>
      </c>
      <c r="C62" s="31" t="s">
        <v>65</v>
      </c>
      <c r="D62" s="10" t="s">
        <v>1102</v>
      </c>
      <c r="E62" s="11" t="s">
        <v>2189</v>
      </c>
      <c r="F62" s="12" t="s">
        <v>2314</v>
      </c>
      <c r="G62" s="12" t="s">
        <v>2315</v>
      </c>
    </row>
    <row r="63" spans="1:7" x14ac:dyDescent="0.25">
      <c r="A63" s="13" t="s">
        <v>2187</v>
      </c>
      <c r="B63" s="14" t="s">
        <v>1043</v>
      </c>
      <c r="C63" s="32" t="s">
        <v>66</v>
      </c>
      <c r="D63" s="14" t="s">
        <v>1103</v>
      </c>
      <c r="E63" s="15" t="s">
        <v>2189</v>
      </c>
      <c r="F63" s="16" t="s">
        <v>2316</v>
      </c>
      <c r="G63" s="16" t="s">
        <v>2317</v>
      </c>
    </row>
    <row r="64" spans="1:7" x14ac:dyDescent="0.25">
      <c r="A64" s="9" t="s">
        <v>2187</v>
      </c>
      <c r="B64" s="10" t="s">
        <v>1043</v>
      </c>
      <c r="C64" s="31" t="s">
        <v>67</v>
      </c>
      <c r="D64" s="10" t="s">
        <v>1104</v>
      </c>
      <c r="E64" s="11" t="s">
        <v>2189</v>
      </c>
      <c r="F64" s="12" t="s">
        <v>2318</v>
      </c>
      <c r="G64" s="12" t="s">
        <v>2319</v>
      </c>
    </row>
    <row r="65" spans="1:7" x14ac:dyDescent="0.25">
      <c r="A65" s="13" t="s">
        <v>2187</v>
      </c>
      <c r="B65" s="14" t="s">
        <v>1043</v>
      </c>
      <c r="C65" s="32" t="s">
        <v>68</v>
      </c>
      <c r="D65" s="14" t="s">
        <v>1105</v>
      </c>
      <c r="E65" s="15" t="s">
        <v>2189</v>
      </c>
      <c r="F65" s="16" t="s">
        <v>2320</v>
      </c>
      <c r="G65" s="16" t="s">
        <v>2321</v>
      </c>
    </row>
    <row r="66" spans="1:7" ht="24" x14ac:dyDescent="0.25">
      <c r="A66" s="9" t="s">
        <v>2187</v>
      </c>
      <c r="B66" s="10" t="s">
        <v>1043</v>
      </c>
      <c r="C66" s="31" t="s">
        <v>69</v>
      </c>
      <c r="D66" s="10" t="s">
        <v>1106</v>
      </c>
      <c r="E66" s="11" t="s">
        <v>2189</v>
      </c>
      <c r="F66" s="12" t="s">
        <v>2322</v>
      </c>
      <c r="G66" s="12" t="s">
        <v>2323</v>
      </c>
    </row>
    <row r="67" spans="1:7" x14ac:dyDescent="0.25">
      <c r="A67" s="13" t="s">
        <v>2187</v>
      </c>
      <c r="B67" s="14" t="s">
        <v>1043</v>
      </c>
      <c r="C67" s="32" t="s">
        <v>70</v>
      </c>
      <c r="D67" s="14" t="s">
        <v>1107</v>
      </c>
      <c r="E67" s="15" t="s">
        <v>2189</v>
      </c>
      <c r="F67" s="16" t="s">
        <v>2324</v>
      </c>
      <c r="G67" s="16" t="s">
        <v>2325</v>
      </c>
    </row>
    <row r="68" spans="1:7" x14ac:dyDescent="0.25">
      <c r="A68" s="9" t="s">
        <v>2187</v>
      </c>
      <c r="B68" s="10" t="s">
        <v>1043</v>
      </c>
      <c r="C68" s="31" t="s">
        <v>71</v>
      </c>
      <c r="D68" s="10" t="s">
        <v>1108</v>
      </c>
      <c r="E68" s="11" t="s">
        <v>2189</v>
      </c>
      <c r="F68" s="12" t="s">
        <v>2326</v>
      </c>
      <c r="G68" s="12" t="s">
        <v>2327</v>
      </c>
    </row>
    <row r="69" spans="1:7" x14ac:dyDescent="0.25">
      <c r="A69" s="13" t="s">
        <v>2187</v>
      </c>
      <c r="B69" s="14" t="s">
        <v>1043</v>
      </c>
      <c r="C69" s="32" t="s">
        <v>72</v>
      </c>
      <c r="D69" s="14" t="s">
        <v>1109</v>
      </c>
      <c r="E69" s="15" t="s">
        <v>2189</v>
      </c>
      <c r="F69" s="16" t="s">
        <v>2328</v>
      </c>
      <c r="G69" s="16" t="s">
        <v>2329</v>
      </c>
    </row>
    <row r="70" spans="1:7" x14ac:dyDescent="0.25">
      <c r="A70" s="9" t="s">
        <v>2187</v>
      </c>
      <c r="B70" s="10" t="s">
        <v>1043</v>
      </c>
      <c r="C70" s="31" t="s">
        <v>73</v>
      </c>
      <c r="D70" s="10" t="s">
        <v>1110</v>
      </c>
      <c r="E70" s="11" t="s">
        <v>2189</v>
      </c>
      <c r="F70" s="12" t="s">
        <v>2330</v>
      </c>
      <c r="G70" s="12" t="s">
        <v>2331</v>
      </c>
    </row>
    <row r="71" spans="1:7" x14ac:dyDescent="0.25">
      <c r="A71" s="13" t="s">
        <v>2187</v>
      </c>
      <c r="B71" s="14" t="s">
        <v>1043</v>
      </c>
      <c r="C71" s="32" t="s">
        <v>74</v>
      </c>
      <c r="D71" s="14" t="s">
        <v>1111</v>
      </c>
      <c r="E71" s="15" t="s">
        <v>2189</v>
      </c>
      <c r="F71" s="16" t="s">
        <v>2332</v>
      </c>
      <c r="G71" s="16" t="s">
        <v>2333</v>
      </c>
    </row>
    <row r="72" spans="1:7" ht="24" x14ac:dyDescent="0.25">
      <c r="A72" s="9" t="s">
        <v>2187</v>
      </c>
      <c r="B72" s="10" t="s">
        <v>1043</v>
      </c>
      <c r="C72" s="31" t="s">
        <v>75</v>
      </c>
      <c r="D72" s="10" t="s">
        <v>1112</v>
      </c>
      <c r="E72" s="11" t="s">
        <v>2189</v>
      </c>
      <c r="F72" s="12" t="s">
        <v>2334</v>
      </c>
      <c r="G72" s="12" t="s">
        <v>2335</v>
      </c>
    </row>
    <row r="73" spans="1:7" x14ac:dyDescent="0.25">
      <c r="A73" s="13" t="s">
        <v>2187</v>
      </c>
      <c r="B73" s="14" t="s">
        <v>1043</v>
      </c>
      <c r="C73" s="32" t="s">
        <v>76</v>
      </c>
      <c r="D73" s="14" t="s">
        <v>1113</v>
      </c>
      <c r="E73" s="15" t="s">
        <v>2189</v>
      </c>
      <c r="F73" s="16" t="s">
        <v>2336</v>
      </c>
      <c r="G73" s="16" t="s">
        <v>2337</v>
      </c>
    </row>
    <row r="74" spans="1:7" x14ac:dyDescent="0.25">
      <c r="A74" s="9" t="s">
        <v>2187</v>
      </c>
      <c r="B74" s="10" t="s">
        <v>1043</v>
      </c>
      <c r="C74" s="31" t="s">
        <v>77</v>
      </c>
      <c r="D74" s="10" t="s">
        <v>1114</v>
      </c>
      <c r="E74" s="11" t="s">
        <v>2189</v>
      </c>
      <c r="F74" s="12" t="s">
        <v>2338</v>
      </c>
      <c r="G74" s="12" t="s">
        <v>2339</v>
      </c>
    </row>
    <row r="75" spans="1:7" x14ac:dyDescent="0.25">
      <c r="A75" s="13" t="s">
        <v>2187</v>
      </c>
      <c r="B75" s="14" t="s">
        <v>1043</v>
      </c>
      <c r="C75" s="32" t="s">
        <v>2075</v>
      </c>
      <c r="D75" s="14" t="s">
        <v>1556</v>
      </c>
      <c r="E75" s="15" t="s">
        <v>2189</v>
      </c>
      <c r="F75" s="16" t="s">
        <v>2340</v>
      </c>
      <c r="G75" s="16" t="s">
        <v>2341</v>
      </c>
    </row>
    <row r="76" spans="1:7" x14ac:dyDescent="0.25">
      <c r="A76" s="9" t="s">
        <v>2187</v>
      </c>
      <c r="B76" s="10" t="s">
        <v>1043</v>
      </c>
      <c r="C76" s="31" t="s">
        <v>78</v>
      </c>
      <c r="D76" s="10" t="s">
        <v>1115</v>
      </c>
      <c r="E76" s="11" t="s">
        <v>2189</v>
      </c>
      <c r="F76" s="12" t="s">
        <v>2342</v>
      </c>
      <c r="G76" s="12" t="s">
        <v>2343</v>
      </c>
    </row>
    <row r="77" spans="1:7" x14ac:dyDescent="0.25">
      <c r="A77" s="13" t="s">
        <v>2187</v>
      </c>
      <c r="B77" s="14" t="s">
        <v>1043</v>
      </c>
      <c r="C77" s="32" t="s">
        <v>79</v>
      </c>
      <c r="D77" s="14" t="s">
        <v>1116</v>
      </c>
      <c r="E77" s="15" t="s">
        <v>2189</v>
      </c>
      <c r="F77" s="16" t="s">
        <v>2344</v>
      </c>
      <c r="G77" s="16" t="s">
        <v>2345</v>
      </c>
    </row>
    <row r="78" spans="1:7" x14ac:dyDescent="0.25">
      <c r="A78" s="9" t="s">
        <v>2187</v>
      </c>
      <c r="B78" s="10" t="s">
        <v>1043</v>
      </c>
      <c r="C78" s="31" t="s">
        <v>80</v>
      </c>
      <c r="D78" s="10" t="s">
        <v>1117</v>
      </c>
      <c r="E78" s="11" t="s">
        <v>2189</v>
      </c>
      <c r="F78" s="12" t="s">
        <v>2346</v>
      </c>
      <c r="G78" s="12" t="s">
        <v>2347</v>
      </c>
    </row>
    <row r="79" spans="1:7" x14ac:dyDescent="0.25">
      <c r="A79" s="13" t="s">
        <v>2187</v>
      </c>
      <c r="B79" s="14" t="s">
        <v>1043</v>
      </c>
      <c r="C79" s="32" t="s">
        <v>81</v>
      </c>
      <c r="D79" s="14" t="s">
        <v>1118</v>
      </c>
      <c r="E79" s="15" t="s">
        <v>2189</v>
      </c>
      <c r="F79" s="16" t="s">
        <v>2348</v>
      </c>
      <c r="G79" s="16" t="s">
        <v>2349</v>
      </c>
    </row>
    <row r="80" spans="1:7" x14ac:dyDescent="0.25">
      <c r="A80" s="9" t="s">
        <v>2187</v>
      </c>
      <c r="B80" s="10" t="s">
        <v>1043</v>
      </c>
      <c r="C80" s="31" t="s">
        <v>82</v>
      </c>
      <c r="D80" s="10" t="s">
        <v>1119</v>
      </c>
      <c r="E80" s="11" t="s">
        <v>2189</v>
      </c>
      <c r="F80" s="12" t="s">
        <v>2350</v>
      </c>
      <c r="G80" s="12" t="s">
        <v>2351</v>
      </c>
    </row>
    <row r="81" spans="1:7" ht="24" x14ac:dyDescent="0.25">
      <c r="A81" s="13" t="s">
        <v>2187</v>
      </c>
      <c r="B81" s="14" t="s">
        <v>1043</v>
      </c>
      <c r="C81" s="32" t="s">
        <v>2076</v>
      </c>
      <c r="D81" s="14" t="s">
        <v>2022</v>
      </c>
      <c r="E81" s="15" t="s">
        <v>2189</v>
      </c>
      <c r="F81" s="16" t="s">
        <v>2352</v>
      </c>
      <c r="G81" s="16" t="s">
        <v>2353</v>
      </c>
    </row>
    <row r="82" spans="1:7" ht="24" x14ac:dyDescent="0.25">
      <c r="A82" s="9" t="s">
        <v>2187</v>
      </c>
      <c r="B82" s="10" t="s">
        <v>1043</v>
      </c>
      <c r="C82" s="31" t="s">
        <v>83</v>
      </c>
      <c r="D82" s="10" t="s">
        <v>1120</v>
      </c>
      <c r="E82" s="11" t="s">
        <v>2189</v>
      </c>
      <c r="F82" s="12" t="s">
        <v>2354</v>
      </c>
      <c r="G82" s="12" t="s">
        <v>2355</v>
      </c>
    </row>
    <row r="83" spans="1:7" ht="24" x14ac:dyDescent="0.25">
      <c r="A83" s="13" t="s">
        <v>2187</v>
      </c>
      <c r="B83" s="14" t="s">
        <v>1043</v>
      </c>
      <c r="C83" s="32" t="s">
        <v>84</v>
      </c>
      <c r="D83" s="14" t="s">
        <v>1121</v>
      </c>
      <c r="E83" s="15" t="s">
        <v>2189</v>
      </c>
      <c r="F83" s="16" t="s">
        <v>2356</v>
      </c>
      <c r="G83" s="16" t="s">
        <v>2357</v>
      </c>
    </row>
    <row r="84" spans="1:7" ht="24" x14ac:dyDescent="0.25">
      <c r="A84" s="9" t="s">
        <v>2187</v>
      </c>
      <c r="B84" s="10" t="s">
        <v>1043</v>
      </c>
      <c r="C84" s="31" t="s">
        <v>85</v>
      </c>
      <c r="D84" s="10" t="s">
        <v>1122</v>
      </c>
      <c r="E84" s="11" t="s">
        <v>2189</v>
      </c>
      <c r="F84" s="12" t="s">
        <v>2358</v>
      </c>
      <c r="G84" s="12" t="s">
        <v>2359</v>
      </c>
    </row>
    <row r="85" spans="1:7" x14ac:dyDescent="0.25">
      <c r="A85" s="13" t="s">
        <v>2187</v>
      </c>
      <c r="B85" s="14" t="s">
        <v>1043</v>
      </c>
      <c r="C85" s="32" t="s">
        <v>86</v>
      </c>
      <c r="D85" s="14" t="s">
        <v>1123</v>
      </c>
      <c r="E85" s="15" t="s">
        <v>2189</v>
      </c>
      <c r="F85" s="16" t="s">
        <v>2360</v>
      </c>
      <c r="G85" s="16" t="s">
        <v>2361</v>
      </c>
    </row>
    <row r="86" spans="1:7" x14ac:dyDescent="0.25">
      <c r="A86" s="9" t="s">
        <v>2187</v>
      </c>
      <c r="B86" s="10" t="s">
        <v>1043</v>
      </c>
      <c r="C86" s="31" t="s">
        <v>87</v>
      </c>
      <c r="D86" s="10" t="s">
        <v>1124</v>
      </c>
      <c r="E86" s="11" t="s">
        <v>2189</v>
      </c>
      <c r="F86" s="12" t="s">
        <v>2362</v>
      </c>
      <c r="G86" s="12" t="s">
        <v>2363</v>
      </c>
    </row>
    <row r="87" spans="1:7" x14ac:dyDescent="0.25">
      <c r="A87" s="13" t="s">
        <v>2187</v>
      </c>
      <c r="B87" s="14" t="s">
        <v>1043</v>
      </c>
      <c r="C87" s="32" t="s">
        <v>88</v>
      </c>
      <c r="D87" s="14" t="s">
        <v>1125</v>
      </c>
      <c r="E87" s="15" t="s">
        <v>2189</v>
      </c>
      <c r="F87" s="16" t="s">
        <v>2364</v>
      </c>
      <c r="G87" s="16" t="s">
        <v>2365</v>
      </c>
    </row>
    <row r="88" spans="1:7" ht="24" x14ac:dyDescent="0.25">
      <c r="A88" s="9" t="s">
        <v>2187</v>
      </c>
      <c r="B88" s="10" t="s">
        <v>1043</v>
      </c>
      <c r="C88" s="31" t="s">
        <v>89</v>
      </c>
      <c r="D88" s="10" t="s">
        <v>1126</v>
      </c>
      <c r="E88" s="11" t="s">
        <v>2189</v>
      </c>
      <c r="F88" s="12" t="s">
        <v>2366</v>
      </c>
      <c r="G88" s="12" t="s">
        <v>2367</v>
      </c>
    </row>
    <row r="89" spans="1:7" x14ac:dyDescent="0.25">
      <c r="A89" s="13" t="s">
        <v>2187</v>
      </c>
      <c r="B89" s="14" t="s">
        <v>1043</v>
      </c>
      <c r="C89" s="32" t="s">
        <v>90</v>
      </c>
      <c r="D89" s="14" t="s">
        <v>1127</v>
      </c>
      <c r="E89" s="15" t="s">
        <v>2189</v>
      </c>
      <c r="F89" s="16" t="s">
        <v>2368</v>
      </c>
      <c r="G89" s="16" t="s">
        <v>2369</v>
      </c>
    </row>
    <row r="90" spans="1:7" x14ac:dyDescent="0.25">
      <c r="A90" s="9" t="s">
        <v>2187</v>
      </c>
      <c r="B90" s="10" t="s">
        <v>1043</v>
      </c>
      <c r="C90" s="31" t="s">
        <v>91</v>
      </c>
      <c r="D90" s="10" t="s">
        <v>1128</v>
      </c>
      <c r="E90" s="11" t="s">
        <v>2189</v>
      </c>
      <c r="F90" s="12" t="s">
        <v>2370</v>
      </c>
      <c r="G90" s="12" t="s">
        <v>2371</v>
      </c>
    </row>
    <row r="91" spans="1:7" ht="36" x14ac:dyDescent="0.25">
      <c r="A91" s="13" t="s">
        <v>2187</v>
      </c>
      <c r="B91" s="14" t="s">
        <v>1043</v>
      </c>
      <c r="C91" s="32" t="s">
        <v>92</v>
      </c>
      <c r="D91" s="14" t="s">
        <v>1129</v>
      </c>
      <c r="E91" s="15" t="s">
        <v>2189</v>
      </c>
      <c r="F91" s="16" t="s">
        <v>2372</v>
      </c>
      <c r="G91" s="16" t="s">
        <v>2373</v>
      </c>
    </row>
    <row r="92" spans="1:7" ht="24" x14ac:dyDescent="0.25">
      <c r="A92" s="9" t="s">
        <v>2187</v>
      </c>
      <c r="B92" s="10" t="s">
        <v>1043</v>
      </c>
      <c r="C92" s="31" t="s">
        <v>93</v>
      </c>
      <c r="D92" s="10" t="s">
        <v>1130</v>
      </c>
      <c r="E92" s="11" t="s">
        <v>2189</v>
      </c>
      <c r="F92" s="12" t="s">
        <v>2374</v>
      </c>
      <c r="G92" s="12" t="s">
        <v>2375</v>
      </c>
    </row>
    <row r="93" spans="1:7" ht="24" x14ac:dyDescent="0.25">
      <c r="A93" s="13" t="s">
        <v>2187</v>
      </c>
      <c r="B93" s="14" t="s">
        <v>1043</v>
      </c>
      <c r="C93" s="32" t="s">
        <v>94</v>
      </c>
      <c r="D93" s="14" t="s">
        <v>1131</v>
      </c>
      <c r="E93" s="15" t="s">
        <v>2189</v>
      </c>
      <c r="F93" s="16" t="s">
        <v>2376</v>
      </c>
      <c r="G93" s="16" t="s">
        <v>2377</v>
      </c>
    </row>
    <row r="94" spans="1:7" ht="24" x14ac:dyDescent="0.25">
      <c r="A94" s="9" t="s">
        <v>2187</v>
      </c>
      <c r="B94" s="10" t="s">
        <v>1043</v>
      </c>
      <c r="C94" s="31" t="s">
        <v>95</v>
      </c>
      <c r="D94" s="10" t="s">
        <v>1132</v>
      </c>
      <c r="E94" s="11" t="s">
        <v>2189</v>
      </c>
      <c r="F94" s="12" t="s">
        <v>2378</v>
      </c>
      <c r="G94" s="12" t="s">
        <v>2379</v>
      </c>
    </row>
    <row r="95" spans="1:7" ht="36" x14ac:dyDescent="0.25">
      <c r="A95" s="13" t="s">
        <v>2187</v>
      </c>
      <c r="B95" s="14" t="s">
        <v>1043</v>
      </c>
      <c r="C95" s="32" t="s">
        <v>96</v>
      </c>
      <c r="D95" s="14" t="s">
        <v>2023</v>
      </c>
      <c r="E95" s="15" t="s">
        <v>2189</v>
      </c>
      <c r="F95" s="16" t="s">
        <v>2380</v>
      </c>
      <c r="G95" s="16" t="s">
        <v>2381</v>
      </c>
    </row>
    <row r="96" spans="1:7" ht="24" x14ac:dyDescent="0.25">
      <c r="A96" s="9" t="s">
        <v>2187</v>
      </c>
      <c r="B96" s="10" t="s">
        <v>1043</v>
      </c>
      <c r="C96" s="31" t="s">
        <v>97</v>
      </c>
      <c r="D96" s="10" t="s">
        <v>1133</v>
      </c>
      <c r="E96" s="11" t="s">
        <v>2189</v>
      </c>
      <c r="F96" s="12" t="s">
        <v>2382</v>
      </c>
      <c r="G96" s="12" t="s">
        <v>2383</v>
      </c>
    </row>
    <row r="97" spans="1:7" x14ac:dyDescent="0.25">
      <c r="A97" s="13" t="s">
        <v>2187</v>
      </c>
      <c r="B97" s="14" t="s">
        <v>1043</v>
      </c>
      <c r="C97" s="32" t="s">
        <v>98</v>
      </c>
      <c r="D97" s="14" t="s">
        <v>1134</v>
      </c>
      <c r="E97" s="15" t="s">
        <v>2189</v>
      </c>
      <c r="F97" s="16" t="s">
        <v>2384</v>
      </c>
      <c r="G97" s="16" t="s">
        <v>2385</v>
      </c>
    </row>
    <row r="98" spans="1:7" ht="36" x14ac:dyDescent="0.25">
      <c r="A98" s="9" t="s">
        <v>2187</v>
      </c>
      <c r="B98" s="10" t="s">
        <v>1043</v>
      </c>
      <c r="C98" s="31" t="s">
        <v>99</v>
      </c>
      <c r="D98" s="10" t="s">
        <v>2025</v>
      </c>
      <c r="E98" s="11" t="s">
        <v>2189</v>
      </c>
      <c r="F98" s="12" t="s">
        <v>2386</v>
      </c>
      <c r="G98" s="12" t="s">
        <v>2387</v>
      </c>
    </row>
    <row r="99" spans="1:7" ht="24" x14ac:dyDescent="0.25">
      <c r="A99" s="13" t="s">
        <v>2187</v>
      </c>
      <c r="B99" s="14" t="s">
        <v>1043</v>
      </c>
      <c r="C99" s="32" t="s">
        <v>100</v>
      </c>
      <c r="D99" s="14" t="s">
        <v>1135</v>
      </c>
      <c r="E99" s="15" t="s">
        <v>2189</v>
      </c>
      <c r="F99" s="16" t="s">
        <v>2388</v>
      </c>
      <c r="G99" s="16" t="s">
        <v>2389</v>
      </c>
    </row>
    <row r="100" spans="1:7" x14ac:dyDescent="0.25">
      <c r="A100" s="9" t="s">
        <v>2187</v>
      </c>
      <c r="B100" s="10" t="s">
        <v>1043</v>
      </c>
      <c r="C100" s="31" t="s">
        <v>101</v>
      </c>
      <c r="D100" s="10" t="s">
        <v>1136</v>
      </c>
      <c r="E100" s="11" t="s">
        <v>2189</v>
      </c>
      <c r="F100" s="12" t="s">
        <v>2390</v>
      </c>
      <c r="G100" s="12" t="s">
        <v>2391</v>
      </c>
    </row>
    <row r="101" spans="1:7" x14ac:dyDescent="0.25">
      <c r="A101" s="13" t="s">
        <v>2187</v>
      </c>
      <c r="B101" s="14" t="s">
        <v>1043</v>
      </c>
      <c r="C101" s="32" t="s">
        <v>102</v>
      </c>
      <c r="D101" s="14" t="s">
        <v>1137</v>
      </c>
      <c r="E101" s="15" t="s">
        <v>2189</v>
      </c>
      <c r="F101" s="16" t="s">
        <v>2392</v>
      </c>
      <c r="G101" s="16" t="s">
        <v>2393</v>
      </c>
    </row>
    <row r="102" spans="1:7" ht="36" x14ac:dyDescent="0.25">
      <c r="A102" s="9" t="s">
        <v>2187</v>
      </c>
      <c r="B102" s="10" t="s">
        <v>1043</v>
      </c>
      <c r="C102" s="31" t="s">
        <v>103</v>
      </c>
      <c r="D102" s="10" t="s">
        <v>1138</v>
      </c>
      <c r="E102" s="11" t="s">
        <v>2189</v>
      </c>
      <c r="F102" s="12" t="s">
        <v>2394</v>
      </c>
      <c r="G102" s="12" t="s">
        <v>2395</v>
      </c>
    </row>
    <row r="103" spans="1:7" ht="24" x14ac:dyDescent="0.25">
      <c r="A103" s="13" t="s">
        <v>2187</v>
      </c>
      <c r="B103" s="14" t="s">
        <v>1043</v>
      </c>
      <c r="C103" s="32" t="s">
        <v>104</v>
      </c>
      <c r="D103" s="14" t="s">
        <v>1139</v>
      </c>
      <c r="E103" s="15" t="s">
        <v>2189</v>
      </c>
      <c r="F103" s="16" t="s">
        <v>2396</v>
      </c>
      <c r="G103" s="16" t="s">
        <v>2397</v>
      </c>
    </row>
    <row r="104" spans="1:7" ht="36" x14ac:dyDescent="0.25">
      <c r="A104" s="9" t="s">
        <v>2187</v>
      </c>
      <c r="B104" s="10" t="s">
        <v>1043</v>
      </c>
      <c r="C104" s="31" t="s">
        <v>105</v>
      </c>
      <c r="D104" s="10" t="s">
        <v>1140</v>
      </c>
      <c r="E104" s="11" t="s">
        <v>2189</v>
      </c>
      <c r="F104" s="12" t="s">
        <v>2398</v>
      </c>
      <c r="G104" s="12" t="s">
        <v>2399</v>
      </c>
    </row>
    <row r="105" spans="1:7" ht="24" x14ac:dyDescent="0.25">
      <c r="A105" s="13" t="s">
        <v>2187</v>
      </c>
      <c r="B105" s="14" t="s">
        <v>1043</v>
      </c>
      <c r="C105" s="32" t="s">
        <v>106</v>
      </c>
      <c r="D105" s="14" t="s">
        <v>1141</v>
      </c>
      <c r="E105" s="15" t="s">
        <v>2189</v>
      </c>
      <c r="F105" s="16" t="s">
        <v>2400</v>
      </c>
      <c r="G105" s="16" t="s">
        <v>2401</v>
      </c>
    </row>
    <row r="106" spans="1:7" ht="24" x14ac:dyDescent="0.25">
      <c r="A106" s="9" t="s">
        <v>2187</v>
      </c>
      <c r="B106" s="10" t="s">
        <v>1043</v>
      </c>
      <c r="C106" s="31" t="s">
        <v>107</v>
      </c>
      <c r="D106" s="10" t="s">
        <v>1142</v>
      </c>
      <c r="E106" s="11" t="s">
        <v>2189</v>
      </c>
      <c r="F106" s="12" t="s">
        <v>2402</v>
      </c>
      <c r="G106" s="12" t="s">
        <v>2403</v>
      </c>
    </row>
    <row r="107" spans="1:7" x14ac:dyDescent="0.25">
      <c r="A107" s="13" t="s">
        <v>2187</v>
      </c>
      <c r="B107" s="14" t="s">
        <v>1043</v>
      </c>
      <c r="C107" s="32" t="s">
        <v>108</v>
      </c>
      <c r="D107" s="14" t="s">
        <v>1143</v>
      </c>
      <c r="E107" s="15" t="s">
        <v>2189</v>
      </c>
      <c r="F107" s="16" t="s">
        <v>2404</v>
      </c>
      <c r="G107" s="16" t="s">
        <v>2405</v>
      </c>
    </row>
    <row r="108" spans="1:7" x14ac:dyDescent="0.25">
      <c r="A108" s="9" t="s">
        <v>2187</v>
      </c>
      <c r="B108" s="10" t="s">
        <v>1043</v>
      </c>
      <c r="C108" s="31" t="s">
        <v>109</v>
      </c>
      <c r="D108" s="10" t="s">
        <v>1144</v>
      </c>
      <c r="E108" s="11" t="s">
        <v>2189</v>
      </c>
      <c r="F108" s="12" t="s">
        <v>2406</v>
      </c>
      <c r="G108" s="12" t="s">
        <v>2407</v>
      </c>
    </row>
    <row r="109" spans="1:7" x14ac:dyDescent="0.25">
      <c r="A109" s="13" t="s">
        <v>2187</v>
      </c>
      <c r="B109" s="14" t="s">
        <v>1043</v>
      </c>
      <c r="C109" s="32" t="s">
        <v>110</v>
      </c>
      <c r="D109" s="14" t="s">
        <v>1145</v>
      </c>
      <c r="E109" s="15" t="s">
        <v>2189</v>
      </c>
      <c r="F109" s="16" t="s">
        <v>2408</v>
      </c>
      <c r="G109" s="16" t="s">
        <v>2409</v>
      </c>
    </row>
    <row r="110" spans="1:7" x14ac:dyDescent="0.25">
      <c r="A110" s="9" t="s">
        <v>2187</v>
      </c>
      <c r="B110" s="10" t="s">
        <v>1043</v>
      </c>
      <c r="C110" s="31" t="s">
        <v>111</v>
      </c>
      <c r="D110" s="10" t="s">
        <v>1146</v>
      </c>
      <c r="E110" s="11" t="s">
        <v>2189</v>
      </c>
      <c r="F110" s="12" t="s">
        <v>2410</v>
      </c>
      <c r="G110" s="12" t="s">
        <v>2411</v>
      </c>
    </row>
    <row r="111" spans="1:7" x14ac:dyDescent="0.25">
      <c r="A111" s="13" t="s">
        <v>2187</v>
      </c>
      <c r="B111" s="14" t="s">
        <v>1043</v>
      </c>
      <c r="C111" s="32" t="s">
        <v>112</v>
      </c>
      <c r="D111" s="14" t="s">
        <v>1147</v>
      </c>
      <c r="E111" s="15" t="s">
        <v>2189</v>
      </c>
      <c r="F111" s="16" t="s">
        <v>2412</v>
      </c>
      <c r="G111" s="16" t="s">
        <v>2413</v>
      </c>
    </row>
    <row r="112" spans="1:7" x14ac:dyDescent="0.25">
      <c r="A112" s="9" t="s">
        <v>2187</v>
      </c>
      <c r="B112" s="10" t="s">
        <v>1043</v>
      </c>
      <c r="C112" s="31" t="s">
        <v>113</v>
      </c>
      <c r="D112" s="10" t="s">
        <v>1148</v>
      </c>
      <c r="E112" s="11" t="s">
        <v>2189</v>
      </c>
      <c r="F112" s="12" t="s">
        <v>2414</v>
      </c>
      <c r="G112" s="12" t="s">
        <v>2415</v>
      </c>
    </row>
    <row r="113" spans="1:7" x14ac:dyDescent="0.25">
      <c r="A113" s="13" t="s">
        <v>2187</v>
      </c>
      <c r="B113" s="14" t="s">
        <v>1043</v>
      </c>
      <c r="C113" s="32" t="s">
        <v>114</v>
      </c>
      <c r="D113" s="14" t="s">
        <v>1149</v>
      </c>
      <c r="E113" s="15" t="s">
        <v>2189</v>
      </c>
      <c r="F113" s="16" t="s">
        <v>2416</v>
      </c>
      <c r="G113" s="16" t="s">
        <v>2417</v>
      </c>
    </row>
    <row r="114" spans="1:7" x14ac:dyDescent="0.25">
      <c r="A114" s="9" t="s">
        <v>2187</v>
      </c>
      <c r="B114" s="10" t="s">
        <v>1043</v>
      </c>
      <c r="C114" s="31" t="s">
        <v>115</v>
      </c>
      <c r="D114" s="10" t="s">
        <v>1150</v>
      </c>
      <c r="E114" s="11" t="s">
        <v>2189</v>
      </c>
      <c r="F114" s="12" t="s">
        <v>2418</v>
      </c>
      <c r="G114" s="12" t="s">
        <v>2419</v>
      </c>
    </row>
    <row r="115" spans="1:7" x14ac:dyDescent="0.25">
      <c r="A115" s="13" t="s">
        <v>2187</v>
      </c>
      <c r="B115" s="14" t="s">
        <v>1043</v>
      </c>
      <c r="C115" s="32" t="s">
        <v>116</v>
      </c>
      <c r="D115" s="14" t="s">
        <v>1151</v>
      </c>
      <c r="E115" s="15" t="s">
        <v>2189</v>
      </c>
      <c r="F115" s="16" t="s">
        <v>2420</v>
      </c>
      <c r="G115" s="16" t="s">
        <v>2421</v>
      </c>
    </row>
    <row r="116" spans="1:7" x14ac:dyDescent="0.25">
      <c r="A116" s="9" t="s">
        <v>2187</v>
      </c>
      <c r="B116" s="10" t="s">
        <v>1043</v>
      </c>
      <c r="C116" s="31" t="s">
        <v>117</v>
      </c>
      <c r="D116" s="10" t="s">
        <v>1152</v>
      </c>
      <c r="E116" s="11" t="s">
        <v>2189</v>
      </c>
      <c r="F116" s="12" t="s">
        <v>2422</v>
      </c>
      <c r="G116" s="12" t="s">
        <v>2423</v>
      </c>
    </row>
    <row r="117" spans="1:7" x14ac:dyDescent="0.25">
      <c r="A117" s="13" t="s">
        <v>2187</v>
      </c>
      <c r="B117" s="14" t="s">
        <v>1043</v>
      </c>
      <c r="C117" s="32" t="s">
        <v>118</v>
      </c>
      <c r="D117" s="14" t="s">
        <v>1153</v>
      </c>
      <c r="E117" s="15" t="s">
        <v>2189</v>
      </c>
      <c r="F117" s="16" t="s">
        <v>2424</v>
      </c>
      <c r="G117" s="16" t="s">
        <v>2425</v>
      </c>
    </row>
    <row r="118" spans="1:7" x14ac:dyDescent="0.25">
      <c r="A118" s="9" t="s">
        <v>2187</v>
      </c>
      <c r="B118" s="10" t="s">
        <v>1043</v>
      </c>
      <c r="C118" s="31" t="s">
        <v>119</v>
      </c>
      <c r="D118" s="10" t="s">
        <v>1154</v>
      </c>
      <c r="E118" s="11" t="s">
        <v>2189</v>
      </c>
      <c r="F118" s="12" t="s">
        <v>2426</v>
      </c>
      <c r="G118" s="12" t="s">
        <v>2427</v>
      </c>
    </row>
    <row r="119" spans="1:7" x14ac:dyDescent="0.25">
      <c r="A119" s="13" t="s">
        <v>2187</v>
      </c>
      <c r="B119" s="14" t="s">
        <v>1043</v>
      </c>
      <c r="C119" s="32" t="s">
        <v>120</v>
      </c>
      <c r="D119" s="14" t="s">
        <v>1155</v>
      </c>
      <c r="E119" s="15" t="s">
        <v>2189</v>
      </c>
      <c r="F119" s="16" t="s">
        <v>2428</v>
      </c>
      <c r="G119" s="16" t="s">
        <v>2429</v>
      </c>
    </row>
    <row r="120" spans="1:7" x14ac:dyDescent="0.25">
      <c r="A120" s="9" t="s">
        <v>2187</v>
      </c>
      <c r="B120" s="10" t="s">
        <v>1043</v>
      </c>
      <c r="C120" s="31" t="s">
        <v>121</v>
      </c>
      <c r="D120" s="10" t="s">
        <v>1156</v>
      </c>
      <c r="E120" s="11" t="s">
        <v>2189</v>
      </c>
      <c r="F120" s="12" t="s">
        <v>2430</v>
      </c>
      <c r="G120" s="12" t="s">
        <v>2431</v>
      </c>
    </row>
    <row r="121" spans="1:7" x14ac:dyDescent="0.25">
      <c r="A121" s="13" t="s">
        <v>2187</v>
      </c>
      <c r="B121" s="14" t="s">
        <v>1043</v>
      </c>
      <c r="C121" s="32" t="s">
        <v>122</v>
      </c>
      <c r="D121" s="14" t="s">
        <v>1157</v>
      </c>
      <c r="E121" s="15" t="s">
        <v>2189</v>
      </c>
      <c r="F121" s="16" t="s">
        <v>2432</v>
      </c>
      <c r="G121" s="16" t="s">
        <v>2433</v>
      </c>
    </row>
    <row r="122" spans="1:7" ht="24" x14ac:dyDescent="0.25">
      <c r="A122" s="9" t="s">
        <v>2187</v>
      </c>
      <c r="B122" s="10" t="s">
        <v>1043</v>
      </c>
      <c r="C122" s="31" t="s">
        <v>123</v>
      </c>
      <c r="D122" s="10" t="s">
        <v>1158</v>
      </c>
      <c r="E122" s="11" t="s">
        <v>2189</v>
      </c>
      <c r="F122" s="12" t="s">
        <v>2434</v>
      </c>
      <c r="G122" s="12" t="s">
        <v>2435</v>
      </c>
    </row>
    <row r="123" spans="1:7" x14ac:dyDescent="0.25">
      <c r="A123" s="13" t="s">
        <v>2187</v>
      </c>
      <c r="B123" s="14" t="s">
        <v>1043</v>
      </c>
      <c r="C123" s="32" t="s">
        <v>124</v>
      </c>
      <c r="D123" s="14" t="s">
        <v>1159</v>
      </c>
      <c r="E123" s="15" t="s">
        <v>2189</v>
      </c>
      <c r="F123" s="16" t="s">
        <v>2436</v>
      </c>
      <c r="G123" s="16" t="s">
        <v>2437</v>
      </c>
    </row>
    <row r="124" spans="1:7" x14ac:dyDescent="0.25">
      <c r="A124" s="9" t="s">
        <v>2187</v>
      </c>
      <c r="B124" s="10" t="s">
        <v>1043</v>
      </c>
      <c r="C124" s="31" t="s">
        <v>125</v>
      </c>
      <c r="D124" s="10" t="s">
        <v>1160</v>
      </c>
      <c r="E124" s="11" t="s">
        <v>2189</v>
      </c>
      <c r="F124" s="12" t="s">
        <v>2438</v>
      </c>
      <c r="G124" s="12" t="s">
        <v>2439</v>
      </c>
    </row>
    <row r="125" spans="1:7" x14ac:dyDescent="0.25">
      <c r="A125" s="13" t="s">
        <v>2187</v>
      </c>
      <c r="B125" s="14" t="s">
        <v>1043</v>
      </c>
      <c r="C125" s="32" t="s">
        <v>126</v>
      </c>
      <c r="D125" s="14" t="s">
        <v>1161</v>
      </c>
      <c r="E125" s="15" t="s">
        <v>2189</v>
      </c>
      <c r="F125" s="16" t="s">
        <v>2440</v>
      </c>
      <c r="G125" s="16" t="s">
        <v>2441</v>
      </c>
    </row>
    <row r="126" spans="1:7" x14ac:dyDescent="0.25">
      <c r="A126" s="9" t="s">
        <v>2187</v>
      </c>
      <c r="B126" s="10" t="s">
        <v>1043</v>
      </c>
      <c r="C126" s="31" t="s">
        <v>127</v>
      </c>
      <c r="D126" s="10" t="s">
        <v>1162</v>
      </c>
      <c r="E126" s="11" t="s">
        <v>2189</v>
      </c>
      <c r="F126" s="12" t="s">
        <v>2442</v>
      </c>
      <c r="G126" s="12" t="s">
        <v>2443</v>
      </c>
    </row>
    <row r="127" spans="1:7" x14ac:dyDescent="0.25">
      <c r="A127" s="13" t="s">
        <v>2187</v>
      </c>
      <c r="B127" s="14" t="s">
        <v>1043</v>
      </c>
      <c r="C127" s="32" t="s">
        <v>128</v>
      </c>
      <c r="D127" s="14" t="s">
        <v>1163</v>
      </c>
      <c r="E127" s="15" t="s">
        <v>2189</v>
      </c>
      <c r="F127" s="16" t="s">
        <v>2444</v>
      </c>
      <c r="G127" s="16" t="s">
        <v>2445</v>
      </c>
    </row>
    <row r="128" spans="1:7" ht="24" x14ac:dyDescent="0.25">
      <c r="A128" s="9" t="s">
        <v>2446</v>
      </c>
      <c r="B128" s="10" t="s">
        <v>1171</v>
      </c>
      <c r="C128" s="31" t="s">
        <v>158</v>
      </c>
      <c r="D128" s="10" t="s">
        <v>1193</v>
      </c>
      <c r="E128" s="11" t="s">
        <v>2189</v>
      </c>
      <c r="F128" s="12" t="s">
        <v>2447</v>
      </c>
      <c r="G128" s="12" t="s">
        <v>2448</v>
      </c>
    </row>
    <row r="129" spans="1:7" x14ac:dyDescent="0.25">
      <c r="A129" s="13" t="s">
        <v>2446</v>
      </c>
      <c r="B129" s="14" t="s">
        <v>1171</v>
      </c>
      <c r="C129" s="32" t="s">
        <v>136</v>
      </c>
      <c r="D129" s="14" t="s">
        <v>1172</v>
      </c>
      <c r="E129" s="15" t="s">
        <v>2189</v>
      </c>
      <c r="F129" s="16" t="s">
        <v>2449</v>
      </c>
      <c r="G129" s="16" t="s">
        <v>2450</v>
      </c>
    </row>
    <row r="130" spans="1:7" ht="24" x14ac:dyDescent="0.25">
      <c r="A130" s="9" t="s">
        <v>2446</v>
      </c>
      <c r="B130" s="10" t="s">
        <v>1171</v>
      </c>
      <c r="C130" s="31" t="s">
        <v>137</v>
      </c>
      <c r="D130" s="10" t="s">
        <v>1173</v>
      </c>
      <c r="E130" s="11" t="s">
        <v>2189</v>
      </c>
      <c r="F130" s="12" t="s">
        <v>2451</v>
      </c>
      <c r="G130" s="12" t="s">
        <v>2452</v>
      </c>
    </row>
    <row r="131" spans="1:7" ht="24" x14ac:dyDescent="0.25">
      <c r="A131" s="13" t="s">
        <v>2446</v>
      </c>
      <c r="B131" s="14" t="s">
        <v>1171</v>
      </c>
      <c r="C131" s="32" t="s">
        <v>138</v>
      </c>
      <c r="D131" s="14" t="s">
        <v>1174</v>
      </c>
      <c r="E131" s="15" t="s">
        <v>2189</v>
      </c>
      <c r="F131" s="16" t="s">
        <v>2453</v>
      </c>
      <c r="G131" s="16" t="s">
        <v>2454</v>
      </c>
    </row>
    <row r="132" spans="1:7" x14ac:dyDescent="0.25">
      <c r="A132" s="9" t="s">
        <v>2446</v>
      </c>
      <c r="B132" s="10" t="s">
        <v>1171</v>
      </c>
      <c r="C132" s="31" t="s">
        <v>139</v>
      </c>
      <c r="D132" s="10" t="s">
        <v>1175</v>
      </c>
      <c r="E132" s="11" t="s">
        <v>2189</v>
      </c>
      <c r="F132" s="12" t="s">
        <v>2455</v>
      </c>
      <c r="G132" s="12" t="s">
        <v>2456</v>
      </c>
    </row>
    <row r="133" spans="1:7" ht="24" x14ac:dyDescent="0.25">
      <c r="A133" s="13" t="s">
        <v>2446</v>
      </c>
      <c r="B133" s="14" t="s">
        <v>1171</v>
      </c>
      <c r="C133" s="32" t="s">
        <v>140</v>
      </c>
      <c r="D133" s="14" t="s">
        <v>1176</v>
      </c>
      <c r="E133" s="15" t="s">
        <v>2189</v>
      </c>
      <c r="F133" s="16" t="s">
        <v>2457</v>
      </c>
      <c r="G133" s="16" t="s">
        <v>2458</v>
      </c>
    </row>
    <row r="134" spans="1:7" x14ac:dyDescent="0.25">
      <c r="A134" s="9" t="s">
        <v>2446</v>
      </c>
      <c r="B134" s="10" t="s">
        <v>1171</v>
      </c>
      <c r="C134" s="31" t="s">
        <v>141</v>
      </c>
      <c r="D134" s="10" t="s">
        <v>1177</v>
      </c>
      <c r="E134" s="11" t="s">
        <v>2189</v>
      </c>
      <c r="F134" s="12" t="s">
        <v>2459</v>
      </c>
      <c r="G134" s="12" t="s">
        <v>2460</v>
      </c>
    </row>
    <row r="135" spans="1:7" x14ac:dyDescent="0.25">
      <c r="A135" s="13" t="s">
        <v>2446</v>
      </c>
      <c r="B135" s="14" t="s">
        <v>1171</v>
      </c>
      <c r="C135" s="32" t="s">
        <v>142</v>
      </c>
      <c r="D135" s="14" t="s">
        <v>1178</v>
      </c>
      <c r="E135" s="15" t="s">
        <v>2189</v>
      </c>
      <c r="F135" s="16" t="s">
        <v>2461</v>
      </c>
      <c r="G135" s="16" t="s">
        <v>2462</v>
      </c>
    </row>
    <row r="136" spans="1:7" x14ac:dyDescent="0.25">
      <c r="A136" s="9" t="s">
        <v>2446</v>
      </c>
      <c r="B136" s="10" t="s">
        <v>1171</v>
      </c>
      <c r="C136" s="31" t="s">
        <v>143</v>
      </c>
      <c r="D136" s="10" t="s">
        <v>1179</v>
      </c>
      <c r="E136" s="11" t="s">
        <v>2189</v>
      </c>
      <c r="F136" s="12" t="s">
        <v>2463</v>
      </c>
      <c r="G136" s="12" t="s">
        <v>2464</v>
      </c>
    </row>
    <row r="137" spans="1:7" ht="24" x14ac:dyDescent="0.25">
      <c r="A137" s="13" t="s">
        <v>2446</v>
      </c>
      <c r="B137" s="14" t="s">
        <v>1171</v>
      </c>
      <c r="C137" s="32" t="s">
        <v>144</v>
      </c>
      <c r="D137" s="14" t="s">
        <v>1180</v>
      </c>
      <c r="E137" s="15" t="s">
        <v>2189</v>
      </c>
      <c r="F137" s="16" t="s">
        <v>2465</v>
      </c>
      <c r="G137" s="16" t="s">
        <v>2466</v>
      </c>
    </row>
    <row r="138" spans="1:7" x14ac:dyDescent="0.25">
      <c r="A138" s="9" t="s">
        <v>2446</v>
      </c>
      <c r="B138" s="10" t="s">
        <v>1171</v>
      </c>
      <c r="C138" s="31" t="s">
        <v>145</v>
      </c>
      <c r="D138" s="10" t="s">
        <v>1181</v>
      </c>
      <c r="E138" s="11" t="s">
        <v>2189</v>
      </c>
      <c r="F138" s="12" t="s">
        <v>2467</v>
      </c>
      <c r="G138" s="12" t="s">
        <v>2468</v>
      </c>
    </row>
    <row r="139" spans="1:7" ht="24" x14ac:dyDescent="0.25">
      <c r="A139" s="13" t="s">
        <v>2446</v>
      </c>
      <c r="B139" s="14" t="s">
        <v>1171</v>
      </c>
      <c r="C139" s="32" t="s">
        <v>146</v>
      </c>
      <c r="D139" s="14" t="s">
        <v>1182</v>
      </c>
      <c r="E139" s="15" t="s">
        <v>2189</v>
      </c>
      <c r="F139" s="16" t="s">
        <v>2469</v>
      </c>
      <c r="G139" s="16" t="s">
        <v>2470</v>
      </c>
    </row>
    <row r="140" spans="1:7" x14ac:dyDescent="0.25">
      <c r="A140" s="9" t="s">
        <v>2446</v>
      </c>
      <c r="B140" s="10" t="s">
        <v>1171</v>
      </c>
      <c r="C140" s="31" t="s">
        <v>147</v>
      </c>
      <c r="D140" s="10" t="s">
        <v>1183</v>
      </c>
      <c r="E140" s="11" t="s">
        <v>2189</v>
      </c>
      <c r="F140" s="12" t="s">
        <v>2471</v>
      </c>
      <c r="G140" s="12" t="s">
        <v>2472</v>
      </c>
    </row>
    <row r="141" spans="1:7" ht="24" x14ac:dyDescent="0.25">
      <c r="A141" s="13" t="s">
        <v>2446</v>
      </c>
      <c r="B141" s="14" t="s">
        <v>1171</v>
      </c>
      <c r="C141" s="32" t="s">
        <v>148</v>
      </c>
      <c r="D141" s="14" t="s">
        <v>1184</v>
      </c>
      <c r="E141" s="15" t="s">
        <v>2189</v>
      </c>
      <c r="F141" s="16" t="s">
        <v>2473</v>
      </c>
      <c r="G141" s="16" t="s">
        <v>2474</v>
      </c>
    </row>
    <row r="142" spans="1:7" x14ac:dyDescent="0.25">
      <c r="A142" s="9" t="s">
        <v>2446</v>
      </c>
      <c r="B142" s="10" t="s">
        <v>1171</v>
      </c>
      <c r="C142" s="31" t="s">
        <v>149</v>
      </c>
      <c r="D142" s="10" t="s">
        <v>1185</v>
      </c>
      <c r="E142" s="11" t="s">
        <v>2189</v>
      </c>
      <c r="F142" s="12" t="s">
        <v>2475</v>
      </c>
      <c r="G142" s="12" t="s">
        <v>2476</v>
      </c>
    </row>
    <row r="143" spans="1:7" ht="24" x14ac:dyDescent="0.25">
      <c r="A143" s="13" t="s">
        <v>2446</v>
      </c>
      <c r="B143" s="14" t="s">
        <v>1171</v>
      </c>
      <c r="C143" s="32" t="s">
        <v>150</v>
      </c>
      <c r="D143" s="14" t="s">
        <v>1186</v>
      </c>
      <c r="E143" s="15" t="s">
        <v>2189</v>
      </c>
      <c r="F143" s="16" t="s">
        <v>2477</v>
      </c>
      <c r="G143" s="16" t="s">
        <v>2478</v>
      </c>
    </row>
    <row r="144" spans="1:7" ht="24" x14ac:dyDescent="0.25">
      <c r="A144" s="9" t="s">
        <v>2446</v>
      </c>
      <c r="B144" s="10" t="s">
        <v>1171</v>
      </c>
      <c r="C144" s="31" t="s">
        <v>151</v>
      </c>
      <c r="D144" s="10" t="s">
        <v>1126</v>
      </c>
      <c r="E144" s="11" t="s">
        <v>2189</v>
      </c>
      <c r="F144" s="12" t="s">
        <v>2479</v>
      </c>
      <c r="G144" s="12" t="s">
        <v>2480</v>
      </c>
    </row>
    <row r="145" spans="1:7" ht="24" x14ac:dyDescent="0.25">
      <c r="A145" s="13" t="s">
        <v>2446</v>
      </c>
      <c r="B145" s="14" t="s">
        <v>1171</v>
      </c>
      <c r="C145" s="32" t="s">
        <v>152</v>
      </c>
      <c r="D145" s="14" t="s">
        <v>1187</v>
      </c>
      <c r="E145" s="15" t="s">
        <v>2189</v>
      </c>
      <c r="F145" s="16" t="s">
        <v>2481</v>
      </c>
      <c r="G145" s="16" t="s">
        <v>2482</v>
      </c>
    </row>
    <row r="146" spans="1:7" ht="24" x14ac:dyDescent="0.25">
      <c r="A146" s="9" t="s">
        <v>2446</v>
      </c>
      <c r="B146" s="10" t="s">
        <v>1171</v>
      </c>
      <c r="C146" s="31" t="s">
        <v>153</v>
      </c>
      <c r="D146" s="10" t="s">
        <v>1188</v>
      </c>
      <c r="E146" s="11" t="s">
        <v>2189</v>
      </c>
      <c r="F146" s="12" t="s">
        <v>2483</v>
      </c>
      <c r="G146" s="12" t="s">
        <v>2484</v>
      </c>
    </row>
    <row r="147" spans="1:7" x14ac:dyDescent="0.25">
      <c r="A147" s="13" t="s">
        <v>2446</v>
      </c>
      <c r="B147" s="14" t="s">
        <v>1171</v>
      </c>
      <c r="C147" s="32" t="s">
        <v>154</v>
      </c>
      <c r="D147" s="14" t="s">
        <v>1189</v>
      </c>
      <c r="E147" s="15" t="s">
        <v>2189</v>
      </c>
      <c r="F147" s="16" t="s">
        <v>2485</v>
      </c>
      <c r="G147" s="16" t="s">
        <v>2486</v>
      </c>
    </row>
    <row r="148" spans="1:7" x14ac:dyDescent="0.25">
      <c r="A148" s="9" t="s">
        <v>2446</v>
      </c>
      <c r="B148" s="10" t="s">
        <v>1171</v>
      </c>
      <c r="C148" s="31" t="s">
        <v>155</v>
      </c>
      <c r="D148" s="10" t="s">
        <v>1190</v>
      </c>
      <c r="E148" s="11" t="s">
        <v>2189</v>
      </c>
      <c r="F148" s="12" t="s">
        <v>2487</v>
      </c>
      <c r="G148" s="12" t="s">
        <v>2488</v>
      </c>
    </row>
    <row r="149" spans="1:7" x14ac:dyDescent="0.25">
      <c r="A149" s="13" t="s">
        <v>2446</v>
      </c>
      <c r="B149" s="14" t="s">
        <v>1171</v>
      </c>
      <c r="C149" s="32" t="s">
        <v>156</v>
      </c>
      <c r="D149" s="14" t="s">
        <v>1191</v>
      </c>
      <c r="E149" s="15" t="s">
        <v>2189</v>
      </c>
      <c r="F149" s="16" t="s">
        <v>2489</v>
      </c>
      <c r="G149" s="16" t="s">
        <v>2490</v>
      </c>
    </row>
    <row r="150" spans="1:7" x14ac:dyDescent="0.25">
      <c r="A150" s="9" t="s">
        <v>2446</v>
      </c>
      <c r="B150" s="10" t="s">
        <v>1171</v>
      </c>
      <c r="C150" s="31" t="s">
        <v>157</v>
      </c>
      <c r="D150" s="10" t="s">
        <v>1192</v>
      </c>
      <c r="E150" s="11" t="s">
        <v>2189</v>
      </c>
      <c r="F150" s="12" t="s">
        <v>2491</v>
      </c>
      <c r="G150" s="12" t="s">
        <v>2492</v>
      </c>
    </row>
    <row r="151" spans="1:7" ht="24" x14ac:dyDescent="0.25">
      <c r="A151" s="13" t="s">
        <v>2493</v>
      </c>
      <c r="B151" s="14" t="s">
        <v>2008</v>
      </c>
      <c r="C151" s="32" t="s">
        <v>159</v>
      </c>
      <c r="D151" s="14" t="s">
        <v>2008</v>
      </c>
      <c r="E151" s="15" t="s">
        <v>2189</v>
      </c>
      <c r="F151" s="16" t="s">
        <v>2494</v>
      </c>
      <c r="G151" s="16" t="s">
        <v>2495</v>
      </c>
    </row>
    <row r="152" spans="1:7" ht="24" x14ac:dyDescent="0.25">
      <c r="A152" s="9" t="s">
        <v>2496</v>
      </c>
      <c r="B152" s="10" t="s">
        <v>1194</v>
      </c>
      <c r="C152" s="31" t="s">
        <v>348</v>
      </c>
      <c r="D152" s="10" t="s">
        <v>1380</v>
      </c>
      <c r="E152" s="11" t="s">
        <v>2189</v>
      </c>
      <c r="F152" s="12" t="s">
        <v>2497</v>
      </c>
      <c r="G152" s="12" t="s">
        <v>2498</v>
      </c>
    </row>
    <row r="153" spans="1:7" x14ac:dyDescent="0.25">
      <c r="A153" s="13" t="s">
        <v>2496</v>
      </c>
      <c r="B153" s="14" t="s">
        <v>1194</v>
      </c>
      <c r="C153" s="32" t="s">
        <v>160</v>
      </c>
      <c r="D153" s="14" t="s">
        <v>1195</v>
      </c>
      <c r="E153" s="15" t="s">
        <v>2189</v>
      </c>
      <c r="F153" s="16" t="s">
        <v>2499</v>
      </c>
      <c r="G153" s="16" t="s">
        <v>2500</v>
      </c>
    </row>
    <row r="154" spans="1:7" ht="24" x14ac:dyDescent="0.25">
      <c r="A154" s="9" t="s">
        <v>2496</v>
      </c>
      <c r="B154" s="10" t="s">
        <v>1194</v>
      </c>
      <c r="C154" s="31" t="s">
        <v>161</v>
      </c>
      <c r="D154" s="10" t="s">
        <v>1196</v>
      </c>
      <c r="E154" s="11" t="s">
        <v>2189</v>
      </c>
      <c r="F154" s="12" t="s">
        <v>2501</v>
      </c>
      <c r="G154" s="12" t="s">
        <v>2502</v>
      </c>
    </row>
    <row r="155" spans="1:7" x14ac:dyDescent="0.25">
      <c r="A155" s="13" t="s">
        <v>2496</v>
      </c>
      <c r="B155" s="14" t="s">
        <v>1194</v>
      </c>
      <c r="C155" s="32" t="s">
        <v>162</v>
      </c>
      <c r="D155" s="14" t="s">
        <v>1197</v>
      </c>
      <c r="E155" s="15" t="s">
        <v>2189</v>
      </c>
      <c r="F155" s="16" t="s">
        <v>2503</v>
      </c>
      <c r="G155" s="16" t="s">
        <v>2504</v>
      </c>
    </row>
    <row r="156" spans="1:7" x14ac:dyDescent="0.25">
      <c r="A156" s="9" t="s">
        <v>2496</v>
      </c>
      <c r="B156" s="10" t="s">
        <v>1194</v>
      </c>
      <c r="C156" s="31" t="s">
        <v>163</v>
      </c>
      <c r="D156" s="10" t="s">
        <v>1198</v>
      </c>
      <c r="E156" s="11" t="s">
        <v>2189</v>
      </c>
      <c r="F156" s="12" t="s">
        <v>2505</v>
      </c>
      <c r="G156" s="12" t="s">
        <v>2506</v>
      </c>
    </row>
    <row r="157" spans="1:7" ht="24" x14ac:dyDescent="0.25">
      <c r="A157" s="13" t="s">
        <v>2496</v>
      </c>
      <c r="B157" s="14" t="s">
        <v>1194</v>
      </c>
      <c r="C157" s="32" t="s">
        <v>164</v>
      </c>
      <c r="D157" s="14" t="s">
        <v>1199</v>
      </c>
      <c r="E157" s="15" t="s">
        <v>2189</v>
      </c>
      <c r="F157" s="16" t="s">
        <v>2507</v>
      </c>
      <c r="G157" s="16" t="s">
        <v>2508</v>
      </c>
    </row>
    <row r="158" spans="1:7" ht="24" x14ac:dyDescent="0.25">
      <c r="A158" s="9" t="s">
        <v>2496</v>
      </c>
      <c r="B158" s="10" t="s">
        <v>1194</v>
      </c>
      <c r="C158" s="31" t="s">
        <v>165</v>
      </c>
      <c r="D158" s="10" t="s">
        <v>1200</v>
      </c>
      <c r="E158" s="11" t="s">
        <v>2189</v>
      </c>
      <c r="F158" s="12" t="s">
        <v>2509</v>
      </c>
      <c r="G158" s="12" t="s">
        <v>2510</v>
      </c>
    </row>
    <row r="159" spans="1:7" x14ac:dyDescent="0.25">
      <c r="A159" s="13" t="s">
        <v>2496</v>
      </c>
      <c r="B159" s="14" t="s">
        <v>1194</v>
      </c>
      <c r="C159" s="32" t="s">
        <v>166</v>
      </c>
      <c r="D159" s="14" t="s">
        <v>1201</v>
      </c>
      <c r="E159" s="15" t="s">
        <v>2189</v>
      </c>
      <c r="F159" s="16" t="s">
        <v>2511</v>
      </c>
      <c r="G159" s="16" t="s">
        <v>2512</v>
      </c>
    </row>
    <row r="160" spans="1:7" ht="24" x14ac:dyDescent="0.25">
      <c r="A160" s="9" t="s">
        <v>2496</v>
      </c>
      <c r="B160" s="10" t="s">
        <v>1194</v>
      </c>
      <c r="C160" s="31" t="s">
        <v>167</v>
      </c>
      <c r="D160" s="10" t="s">
        <v>1202</v>
      </c>
      <c r="E160" s="11" t="s">
        <v>2189</v>
      </c>
      <c r="F160" s="12" t="s">
        <v>2513</v>
      </c>
      <c r="G160" s="12" t="s">
        <v>2514</v>
      </c>
    </row>
    <row r="161" spans="1:7" x14ac:dyDescent="0.25">
      <c r="A161" s="13" t="s">
        <v>2496</v>
      </c>
      <c r="B161" s="14" t="s">
        <v>1194</v>
      </c>
      <c r="C161" s="32" t="s">
        <v>168</v>
      </c>
      <c r="D161" s="14" t="s">
        <v>1203</v>
      </c>
      <c r="E161" s="15" t="s">
        <v>2189</v>
      </c>
      <c r="F161" s="16" t="s">
        <v>2515</v>
      </c>
      <c r="G161" s="16" t="s">
        <v>2516</v>
      </c>
    </row>
    <row r="162" spans="1:7" x14ac:dyDescent="0.25">
      <c r="A162" s="9" t="s">
        <v>2496</v>
      </c>
      <c r="B162" s="10" t="s">
        <v>1194</v>
      </c>
      <c r="C162" s="31" t="s">
        <v>169</v>
      </c>
      <c r="D162" s="10" t="s">
        <v>1204</v>
      </c>
      <c r="E162" s="11" t="s">
        <v>2189</v>
      </c>
      <c r="F162" s="12" t="s">
        <v>2517</v>
      </c>
      <c r="G162" s="12" t="s">
        <v>2518</v>
      </c>
    </row>
    <row r="163" spans="1:7" x14ac:dyDescent="0.25">
      <c r="A163" s="13" t="s">
        <v>2496</v>
      </c>
      <c r="B163" s="14" t="s">
        <v>1194</v>
      </c>
      <c r="C163" s="32" t="s">
        <v>170</v>
      </c>
      <c r="D163" s="14" t="s">
        <v>1205</v>
      </c>
      <c r="E163" s="15" t="s">
        <v>2189</v>
      </c>
      <c r="F163" s="16" t="s">
        <v>2519</v>
      </c>
      <c r="G163" s="16" t="s">
        <v>2520</v>
      </c>
    </row>
    <row r="164" spans="1:7" ht="24" x14ac:dyDescent="0.25">
      <c r="A164" s="9" t="s">
        <v>2496</v>
      </c>
      <c r="B164" s="10" t="s">
        <v>1194</v>
      </c>
      <c r="C164" s="31" t="s">
        <v>171</v>
      </c>
      <c r="D164" s="10" t="s">
        <v>1206</v>
      </c>
      <c r="E164" s="11" t="s">
        <v>2189</v>
      </c>
      <c r="F164" s="12" t="s">
        <v>2521</v>
      </c>
      <c r="G164" s="12" t="s">
        <v>2522</v>
      </c>
    </row>
    <row r="165" spans="1:7" x14ac:dyDescent="0.25">
      <c r="A165" s="13" t="s">
        <v>2496</v>
      </c>
      <c r="B165" s="14" t="s">
        <v>1194</v>
      </c>
      <c r="C165" s="32" t="s">
        <v>172</v>
      </c>
      <c r="D165" s="14" t="s">
        <v>1207</v>
      </c>
      <c r="E165" s="15" t="s">
        <v>2189</v>
      </c>
      <c r="F165" s="16" t="s">
        <v>2523</v>
      </c>
      <c r="G165" s="16" t="s">
        <v>2524</v>
      </c>
    </row>
    <row r="166" spans="1:7" x14ac:dyDescent="0.25">
      <c r="A166" s="9" t="s">
        <v>2496</v>
      </c>
      <c r="B166" s="10" t="s">
        <v>1194</v>
      </c>
      <c r="C166" s="31" t="s">
        <v>173</v>
      </c>
      <c r="D166" s="10" t="s">
        <v>1208</v>
      </c>
      <c r="E166" s="11" t="s">
        <v>2189</v>
      </c>
      <c r="F166" s="12" t="s">
        <v>2525</v>
      </c>
      <c r="G166" s="12" t="s">
        <v>2526</v>
      </c>
    </row>
    <row r="167" spans="1:7" ht="24" x14ac:dyDescent="0.25">
      <c r="A167" s="13" t="s">
        <v>2496</v>
      </c>
      <c r="B167" s="14" t="s">
        <v>1194</v>
      </c>
      <c r="C167" s="32" t="s">
        <v>174</v>
      </c>
      <c r="D167" s="14" t="s">
        <v>1209</v>
      </c>
      <c r="E167" s="15" t="s">
        <v>2189</v>
      </c>
      <c r="F167" s="16" t="s">
        <v>2527</v>
      </c>
      <c r="G167" s="16" t="s">
        <v>2528</v>
      </c>
    </row>
    <row r="168" spans="1:7" x14ac:dyDescent="0.25">
      <c r="A168" s="9" t="s">
        <v>2496</v>
      </c>
      <c r="B168" s="10" t="s">
        <v>1194</v>
      </c>
      <c r="C168" s="31" t="s">
        <v>175</v>
      </c>
      <c r="D168" s="10" t="s">
        <v>1210</v>
      </c>
      <c r="E168" s="11" t="s">
        <v>2189</v>
      </c>
      <c r="F168" s="12" t="s">
        <v>2529</v>
      </c>
      <c r="G168" s="12" t="s">
        <v>2530</v>
      </c>
    </row>
    <row r="169" spans="1:7" x14ac:dyDescent="0.25">
      <c r="A169" s="13" t="s">
        <v>2496</v>
      </c>
      <c r="B169" s="14" t="s">
        <v>1194</v>
      </c>
      <c r="C169" s="32" t="s">
        <v>176</v>
      </c>
      <c r="D169" s="14" t="s">
        <v>1211</v>
      </c>
      <c r="E169" s="15" t="s">
        <v>2189</v>
      </c>
      <c r="F169" s="16" t="s">
        <v>2531</v>
      </c>
      <c r="G169" s="16" t="s">
        <v>2532</v>
      </c>
    </row>
    <row r="170" spans="1:7" x14ac:dyDescent="0.25">
      <c r="A170" s="9" t="s">
        <v>2496</v>
      </c>
      <c r="B170" s="10" t="s">
        <v>1194</v>
      </c>
      <c r="C170" s="31" t="s">
        <v>177</v>
      </c>
      <c r="D170" s="10" t="s">
        <v>1212</v>
      </c>
      <c r="E170" s="11" t="s">
        <v>2189</v>
      </c>
      <c r="F170" s="12" t="s">
        <v>2533</v>
      </c>
      <c r="G170" s="12" t="s">
        <v>2534</v>
      </c>
    </row>
    <row r="171" spans="1:7" ht="24" x14ac:dyDescent="0.25">
      <c r="A171" s="13" t="s">
        <v>2496</v>
      </c>
      <c r="B171" s="14" t="s">
        <v>1194</v>
      </c>
      <c r="C171" s="32" t="s">
        <v>178</v>
      </c>
      <c r="D171" s="14" t="s">
        <v>1213</v>
      </c>
      <c r="E171" s="15" t="s">
        <v>2189</v>
      </c>
      <c r="F171" s="16" t="s">
        <v>2535</v>
      </c>
      <c r="G171" s="16" t="s">
        <v>2536</v>
      </c>
    </row>
    <row r="172" spans="1:7" ht="24" x14ac:dyDescent="0.25">
      <c r="A172" s="9" t="s">
        <v>2496</v>
      </c>
      <c r="B172" s="10" t="s">
        <v>1194</v>
      </c>
      <c r="C172" s="31" t="s">
        <v>179</v>
      </c>
      <c r="D172" s="10" t="s">
        <v>1214</v>
      </c>
      <c r="E172" s="11" t="s">
        <v>2189</v>
      </c>
      <c r="F172" s="12" t="s">
        <v>2537</v>
      </c>
      <c r="G172" s="12" t="s">
        <v>2538</v>
      </c>
    </row>
    <row r="173" spans="1:7" ht="36" x14ac:dyDescent="0.25">
      <c r="A173" s="13" t="s">
        <v>2496</v>
      </c>
      <c r="B173" s="14" t="s">
        <v>1194</v>
      </c>
      <c r="C173" s="32" t="s">
        <v>180</v>
      </c>
      <c r="D173" s="14" t="s">
        <v>2024</v>
      </c>
      <c r="E173" s="15" t="s">
        <v>2189</v>
      </c>
      <c r="F173" s="16" t="s">
        <v>2539</v>
      </c>
      <c r="G173" s="16" t="s">
        <v>2540</v>
      </c>
    </row>
    <row r="174" spans="1:7" x14ac:dyDescent="0.25">
      <c r="A174" s="9" t="s">
        <v>2496</v>
      </c>
      <c r="B174" s="10" t="s">
        <v>1194</v>
      </c>
      <c r="C174" s="31" t="s">
        <v>181</v>
      </c>
      <c r="D174" s="10" t="s">
        <v>1215</v>
      </c>
      <c r="E174" s="11" t="s">
        <v>2189</v>
      </c>
      <c r="F174" s="12" t="s">
        <v>2541</v>
      </c>
      <c r="G174" s="12" t="s">
        <v>2542</v>
      </c>
    </row>
    <row r="175" spans="1:7" x14ac:dyDescent="0.25">
      <c r="A175" s="13" t="s">
        <v>2496</v>
      </c>
      <c r="B175" s="14" t="s">
        <v>1194</v>
      </c>
      <c r="C175" s="32" t="s">
        <v>182</v>
      </c>
      <c r="D175" s="14" t="s">
        <v>1216</v>
      </c>
      <c r="E175" s="15" t="s">
        <v>2189</v>
      </c>
      <c r="F175" s="16" t="s">
        <v>2543</v>
      </c>
      <c r="G175" s="16" t="s">
        <v>2544</v>
      </c>
    </row>
    <row r="176" spans="1:7" x14ac:dyDescent="0.25">
      <c r="A176" s="9" t="s">
        <v>2496</v>
      </c>
      <c r="B176" s="10" t="s">
        <v>1194</v>
      </c>
      <c r="C176" s="31" t="s">
        <v>183</v>
      </c>
      <c r="D176" s="10" t="s">
        <v>1217</v>
      </c>
      <c r="E176" s="11" t="s">
        <v>2189</v>
      </c>
      <c r="F176" s="12" t="s">
        <v>2545</v>
      </c>
      <c r="G176" s="12" t="s">
        <v>2546</v>
      </c>
    </row>
    <row r="177" spans="1:7" x14ac:dyDescent="0.25">
      <c r="A177" s="13" t="s">
        <v>2496</v>
      </c>
      <c r="B177" s="14" t="s">
        <v>1194</v>
      </c>
      <c r="C177" s="32" t="s">
        <v>184</v>
      </c>
      <c r="D177" s="14" t="s">
        <v>1218</v>
      </c>
      <c r="E177" s="15" t="s">
        <v>2189</v>
      </c>
      <c r="F177" s="16" t="s">
        <v>2547</v>
      </c>
      <c r="G177" s="16" t="s">
        <v>2548</v>
      </c>
    </row>
    <row r="178" spans="1:7" x14ac:dyDescent="0.25">
      <c r="A178" s="9" t="s">
        <v>2496</v>
      </c>
      <c r="B178" s="10" t="s">
        <v>1194</v>
      </c>
      <c r="C178" s="31" t="s">
        <v>185</v>
      </c>
      <c r="D178" s="10" t="s">
        <v>1219</v>
      </c>
      <c r="E178" s="11" t="s">
        <v>2189</v>
      </c>
      <c r="F178" s="12" t="s">
        <v>2549</v>
      </c>
      <c r="G178" s="12" t="s">
        <v>2550</v>
      </c>
    </row>
    <row r="179" spans="1:7" ht="24" x14ac:dyDescent="0.25">
      <c r="A179" s="13" t="s">
        <v>2496</v>
      </c>
      <c r="B179" s="14" t="s">
        <v>1194</v>
      </c>
      <c r="C179" s="32" t="s">
        <v>186</v>
      </c>
      <c r="D179" s="14" t="s">
        <v>1220</v>
      </c>
      <c r="E179" s="15" t="s">
        <v>2189</v>
      </c>
      <c r="F179" s="16" t="s">
        <v>2551</v>
      </c>
      <c r="G179" s="16" t="s">
        <v>2552</v>
      </c>
    </row>
    <row r="180" spans="1:7" ht="24" x14ac:dyDescent="0.25">
      <c r="A180" s="9" t="s">
        <v>2496</v>
      </c>
      <c r="B180" s="10" t="s">
        <v>1194</v>
      </c>
      <c r="C180" s="31" t="s">
        <v>187</v>
      </c>
      <c r="D180" s="10" t="s">
        <v>1221</v>
      </c>
      <c r="E180" s="11" t="s">
        <v>2189</v>
      </c>
      <c r="F180" s="12" t="s">
        <v>2553</v>
      </c>
      <c r="G180" s="12" t="s">
        <v>2554</v>
      </c>
    </row>
    <row r="181" spans="1:7" ht="24" x14ac:dyDescent="0.25">
      <c r="A181" s="13" t="s">
        <v>2496</v>
      </c>
      <c r="B181" s="14" t="s">
        <v>1194</v>
      </c>
      <c r="C181" s="32" t="s">
        <v>188</v>
      </c>
      <c r="D181" s="14" t="s">
        <v>1222</v>
      </c>
      <c r="E181" s="15" t="s">
        <v>2189</v>
      </c>
      <c r="F181" s="16" t="s">
        <v>2555</v>
      </c>
      <c r="G181" s="16" t="s">
        <v>2556</v>
      </c>
    </row>
    <row r="182" spans="1:7" ht="24" x14ac:dyDescent="0.25">
      <c r="A182" s="9" t="s">
        <v>2496</v>
      </c>
      <c r="B182" s="10" t="s">
        <v>1194</v>
      </c>
      <c r="C182" s="31" t="s">
        <v>189</v>
      </c>
      <c r="D182" s="10" t="s">
        <v>1223</v>
      </c>
      <c r="E182" s="11" t="s">
        <v>2189</v>
      </c>
      <c r="F182" s="12" t="s">
        <v>2557</v>
      </c>
      <c r="G182" s="12" t="s">
        <v>2558</v>
      </c>
    </row>
    <row r="183" spans="1:7" ht="36" x14ac:dyDescent="0.25">
      <c r="A183" s="13" t="s">
        <v>2496</v>
      </c>
      <c r="B183" s="14" t="s">
        <v>1194</v>
      </c>
      <c r="C183" s="32" t="s">
        <v>190</v>
      </c>
      <c r="D183" s="14" t="s">
        <v>1224</v>
      </c>
      <c r="E183" s="15" t="s">
        <v>2189</v>
      </c>
      <c r="F183" s="16" t="s">
        <v>2559</v>
      </c>
      <c r="G183" s="16" t="s">
        <v>2560</v>
      </c>
    </row>
    <row r="184" spans="1:7" ht="36" x14ac:dyDescent="0.25">
      <c r="A184" s="9" t="s">
        <v>2496</v>
      </c>
      <c r="B184" s="10" t="s">
        <v>1194</v>
      </c>
      <c r="C184" s="31" t="s">
        <v>191</v>
      </c>
      <c r="D184" s="10" t="s">
        <v>1225</v>
      </c>
      <c r="E184" s="11" t="s">
        <v>2189</v>
      </c>
      <c r="F184" s="12" t="s">
        <v>2561</v>
      </c>
      <c r="G184" s="12" t="s">
        <v>2562</v>
      </c>
    </row>
    <row r="185" spans="1:7" ht="24" x14ac:dyDescent="0.25">
      <c r="A185" s="13" t="s">
        <v>2496</v>
      </c>
      <c r="B185" s="14" t="s">
        <v>1194</v>
      </c>
      <c r="C185" s="32" t="s">
        <v>192</v>
      </c>
      <c r="D185" s="14" t="s">
        <v>1226</v>
      </c>
      <c r="E185" s="15" t="s">
        <v>2189</v>
      </c>
      <c r="F185" s="16" t="s">
        <v>2563</v>
      </c>
      <c r="G185" s="16" t="s">
        <v>2564</v>
      </c>
    </row>
    <row r="186" spans="1:7" x14ac:dyDescent="0.25">
      <c r="A186" s="9" t="s">
        <v>2496</v>
      </c>
      <c r="B186" s="10" t="s">
        <v>1194</v>
      </c>
      <c r="C186" s="31" t="s">
        <v>193</v>
      </c>
      <c r="D186" s="10" t="s">
        <v>1227</v>
      </c>
      <c r="E186" s="11" t="s">
        <v>2189</v>
      </c>
      <c r="F186" s="12" t="s">
        <v>2565</v>
      </c>
      <c r="G186" s="12" t="s">
        <v>2566</v>
      </c>
    </row>
    <row r="187" spans="1:7" ht="24" x14ac:dyDescent="0.25">
      <c r="A187" s="13" t="s">
        <v>2496</v>
      </c>
      <c r="B187" s="14" t="s">
        <v>1194</v>
      </c>
      <c r="C187" s="32" t="s">
        <v>194</v>
      </c>
      <c r="D187" s="14" t="s">
        <v>1228</v>
      </c>
      <c r="E187" s="15" t="s">
        <v>2189</v>
      </c>
      <c r="F187" s="16" t="s">
        <v>2567</v>
      </c>
      <c r="G187" s="16" t="s">
        <v>2568</v>
      </c>
    </row>
    <row r="188" spans="1:7" ht="24" x14ac:dyDescent="0.25">
      <c r="A188" s="9" t="s">
        <v>2496</v>
      </c>
      <c r="B188" s="10" t="s">
        <v>1194</v>
      </c>
      <c r="C188" s="31" t="s">
        <v>195</v>
      </c>
      <c r="D188" s="10" t="s">
        <v>1229</v>
      </c>
      <c r="E188" s="11" t="s">
        <v>2189</v>
      </c>
      <c r="F188" s="12" t="s">
        <v>2569</v>
      </c>
      <c r="G188" s="12" t="s">
        <v>2570</v>
      </c>
    </row>
    <row r="189" spans="1:7" ht="36" x14ac:dyDescent="0.25">
      <c r="A189" s="13" t="s">
        <v>2496</v>
      </c>
      <c r="B189" s="14" t="s">
        <v>1194</v>
      </c>
      <c r="C189" s="32" t="s">
        <v>196</v>
      </c>
      <c r="D189" s="14" t="s">
        <v>1230</v>
      </c>
      <c r="E189" s="15" t="s">
        <v>2189</v>
      </c>
      <c r="F189" s="16" t="s">
        <v>2571</v>
      </c>
      <c r="G189" s="16" t="s">
        <v>2572</v>
      </c>
    </row>
    <row r="190" spans="1:7" x14ac:dyDescent="0.25">
      <c r="A190" s="9" t="s">
        <v>2496</v>
      </c>
      <c r="B190" s="10" t="s">
        <v>1194</v>
      </c>
      <c r="C190" s="31" t="s">
        <v>197</v>
      </c>
      <c r="D190" s="10" t="s">
        <v>1231</v>
      </c>
      <c r="E190" s="11" t="s">
        <v>2189</v>
      </c>
      <c r="F190" s="12" t="s">
        <v>2573</v>
      </c>
      <c r="G190" s="12" t="s">
        <v>2574</v>
      </c>
    </row>
    <row r="191" spans="1:7" ht="24" x14ac:dyDescent="0.25">
      <c r="A191" s="13" t="s">
        <v>2496</v>
      </c>
      <c r="B191" s="14" t="s">
        <v>1194</v>
      </c>
      <c r="C191" s="32" t="s">
        <v>198</v>
      </c>
      <c r="D191" s="14" t="s">
        <v>1232</v>
      </c>
      <c r="E191" s="15" t="s">
        <v>2189</v>
      </c>
      <c r="F191" s="16" t="s">
        <v>2575</v>
      </c>
      <c r="G191" s="16" t="s">
        <v>2576</v>
      </c>
    </row>
    <row r="192" spans="1:7" ht="24" x14ac:dyDescent="0.25">
      <c r="A192" s="9" t="s">
        <v>2496</v>
      </c>
      <c r="B192" s="10" t="s">
        <v>1194</v>
      </c>
      <c r="C192" s="31" t="s">
        <v>199</v>
      </c>
      <c r="D192" s="10" t="s">
        <v>1233</v>
      </c>
      <c r="E192" s="11" t="s">
        <v>2189</v>
      </c>
      <c r="F192" s="12" t="s">
        <v>2577</v>
      </c>
      <c r="G192" s="12" t="s">
        <v>2578</v>
      </c>
    </row>
    <row r="193" spans="1:7" x14ac:dyDescent="0.25">
      <c r="A193" s="13" t="s">
        <v>2496</v>
      </c>
      <c r="B193" s="14" t="s">
        <v>1194</v>
      </c>
      <c r="C193" s="32" t="s">
        <v>200</v>
      </c>
      <c r="D193" s="14" t="s">
        <v>1234</v>
      </c>
      <c r="E193" s="15" t="s">
        <v>2189</v>
      </c>
      <c r="F193" s="16" t="s">
        <v>2579</v>
      </c>
      <c r="G193" s="16" t="s">
        <v>2580</v>
      </c>
    </row>
    <row r="194" spans="1:7" x14ac:dyDescent="0.25">
      <c r="A194" s="9" t="s">
        <v>2496</v>
      </c>
      <c r="B194" s="10" t="s">
        <v>1194</v>
      </c>
      <c r="C194" s="31" t="s">
        <v>201</v>
      </c>
      <c r="D194" s="10" t="s">
        <v>1235</v>
      </c>
      <c r="E194" s="11" t="s">
        <v>2189</v>
      </c>
      <c r="F194" s="12" t="s">
        <v>2581</v>
      </c>
      <c r="G194" s="12" t="s">
        <v>2582</v>
      </c>
    </row>
    <row r="195" spans="1:7" x14ac:dyDescent="0.25">
      <c r="A195" s="13" t="s">
        <v>2496</v>
      </c>
      <c r="B195" s="14" t="s">
        <v>1194</v>
      </c>
      <c r="C195" s="32" t="s">
        <v>202</v>
      </c>
      <c r="D195" s="14" t="s">
        <v>2583</v>
      </c>
      <c r="E195" s="15" t="s">
        <v>2189</v>
      </c>
      <c r="F195" s="16" t="s">
        <v>2584</v>
      </c>
      <c r="G195" s="16" t="s">
        <v>2585</v>
      </c>
    </row>
    <row r="196" spans="1:7" x14ac:dyDescent="0.25">
      <c r="A196" s="9" t="s">
        <v>2496</v>
      </c>
      <c r="B196" s="10" t="s">
        <v>1194</v>
      </c>
      <c r="C196" s="31" t="s">
        <v>203</v>
      </c>
      <c r="D196" s="10" t="s">
        <v>1236</v>
      </c>
      <c r="E196" s="11" t="s">
        <v>2189</v>
      </c>
      <c r="F196" s="12" t="s">
        <v>2586</v>
      </c>
      <c r="G196" s="12" t="s">
        <v>2587</v>
      </c>
    </row>
    <row r="197" spans="1:7" x14ac:dyDescent="0.25">
      <c r="A197" s="13" t="s">
        <v>2496</v>
      </c>
      <c r="B197" s="14" t="s">
        <v>1194</v>
      </c>
      <c r="C197" s="32" t="s">
        <v>204</v>
      </c>
      <c r="D197" s="14" t="s">
        <v>1237</v>
      </c>
      <c r="E197" s="15" t="s">
        <v>2189</v>
      </c>
      <c r="F197" s="16" t="s">
        <v>2588</v>
      </c>
      <c r="G197" s="16" t="s">
        <v>2589</v>
      </c>
    </row>
    <row r="198" spans="1:7" x14ac:dyDescent="0.25">
      <c r="A198" s="9" t="s">
        <v>2590</v>
      </c>
      <c r="B198" s="10" t="s">
        <v>1238</v>
      </c>
      <c r="C198" s="31" t="s">
        <v>205</v>
      </c>
      <c r="D198" s="10" t="s">
        <v>1239</v>
      </c>
      <c r="E198" s="11" t="s">
        <v>2189</v>
      </c>
      <c r="F198" s="12" t="s">
        <v>2591</v>
      </c>
      <c r="G198" s="12" t="s">
        <v>2592</v>
      </c>
    </row>
    <row r="199" spans="1:7" x14ac:dyDescent="0.25">
      <c r="A199" s="13" t="s">
        <v>2590</v>
      </c>
      <c r="B199" s="14" t="s">
        <v>1238</v>
      </c>
      <c r="C199" s="32" t="s">
        <v>2074</v>
      </c>
      <c r="D199" s="14" t="s">
        <v>2149</v>
      </c>
      <c r="E199" s="15" t="s">
        <v>2189</v>
      </c>
      <c r="F199" s="16" t="s">
        <v>2593</v>
      </c>
      <c r="G199" s="16" t="s">
        <v>2594</v>
      </c>
    </row>
    <row r="200" spans="1:7" x14ac:dyDescent="0.25">
      <c r="A200" s="9" t="s">
        <v>2590</v>
      </c>
      <c r="B200" s="10" t="s">
        <v>1238</v>
      </c>
      <c r="C200" s="31" t="s">
        <v>206</v>
      </c>
      <c r="D200" s="10" t="s">
        <v>1240</v>
      </c>
      <c r="E200" s="11" t="s">
        <v>2189</v>
      </c>
      <c r="F200" s="12" t="s">
        <v>2595</v>
      </c>
      <c r="G200" s="12" t="s">
        <v>2596</v>
      </c>
    </row>
    <row r="201" spans="1:7" x14ac:dyDescent="0.25">
      <c r="A201" s="13" t="s">
        <v>2590</v>
      </c>
      <c r="B201" s="14" t="s">
        <v>1238</v>
      </c>
      <c r="C201" s="32" t="s">
        <v>207</v>
      </c>
      <c r="D201" s="14" t="s">
        <v>1241</v>
      </c>
      <c r="E201" s="15" t="s">
        <v>2189</v>
      </c>
      <c r="F201" s="16" t="s">
        <v>2597</v>
      </c>
      <c r="G201" s="16" t="s">
        <v>2598</v>
      </c>
    </row>
    <row r="202" spans="1:7" x14ac:dyDescent="0.25">
      <c r="A202" s="9" t="s">
        <v>2590</v>
      </c>
      <c r="B202" s="10" t="s">
        <v>1238</v>
      </c>
      <c r="C202" s="31" t="s">
        <v>208</v>
      </c>
      <c r="D202" s="10" t="s">
        <v>1242</v>
      </c>
      <c r="E202" s="11" t="s">
        <v>2189</v>
      </c>
      <c r="F202" s="12" t="s">
        <v>2599</v>
      </c>
      <c r="G202" s="12" t="s">
        <v>2600</v>
      </c>
    </row>
    <row r="203" spans="1:7" x14ac:dyDescent="0.25">
      <c r="A203" s="13" t="s">
        <v>2590</v>
      </c>
      <c r="B203" s="14" t="s">
        <v>1238</v>
      </c>
      <c r="C203" s="32" t="s">
        <v>2081</v>
      </c>
      <c r="D203" s="14" t="s">
        <v>2154</v>
      </c>
      <c r="E203" s="15" t="s">
        <v>2189</v>
      </c>
      <c r="F203" s="16" t="s">
        <v>2601</v>
      </c>
      <c r="G203" s="16" t="s">
        <v>2602</v>
      </c>
    </row>
    <row r="204" spans="1:7" x14ac:dyDescent="0.25">
      <c r="A204" s="9" t="s">
        <v>2590</v>
      </c>
      <c r="B204" s="10" t="s">
        <v>1238</v>
      </c>
      <c r="C204" s="31" t="s">
        <v>2060</v>
      </c>
      <c r="D204" s="10" t="s">
        <v>2137</v>
      </c>
      <c r="E204" s="11" t="s">
        <v>2189</v>
      </c>
      <c r="F204" s="12" t="s">
        <v>2603</v>
      </c>
      <c r="G204" s="12" t="s">
        <v>2604</v>
      </c>
    </row>
    <row r="205" spans="1:7" x14ac:dyDescent="0.25">
      <c r="A205" s="13" t="s">
        <v>2590</v>
      </c>
      <c r="B205" s="14" t="s">
        <v>1238</v>
      </c>
      <c r="C205" s="32" t="s">
        <v>209</v>
      </c>
      <c r="D205" s="14" t="s">
        <v>1243</v>
      </c>
      <c r="E205" s="15" t="s">
        <v>2189</v>
      </c>
      <c r="F205" s="16" t="s">
        <v>2605</v>
      </c>
      <c r="G205" s="16" t="s">
        <v>2606</v>
      </c>
    </row>
    <row r="206" spans="1:7" x14ac:dyDescent="0.25">
      <c r="A206" s="9" t="s">
        <v>2590</v>
      </c>
      <c r="B206" s="10" t="s">
        <v>1238</v>
      </c>
      <c r="C206" s="31" t="s">
        <v>210</v>
      </c>
      <c r="D206" s="10" t="s">
        <v>1238</v>
      </c>
      <c r="E206" s="11" t="s">
        <v>2189</v>
      </c>
      <c r="F206" s="12" t="s">
        <v>2607</v>
      </c>
      <c r="G206" s="12" t="s">
        <v>2608</v>
      </c>
    </row>
    <row r="207" spans="1:7" x14ac:dyDescent="0.25">
      <c r="A207" s="13" t="s">
        <v>2590</v>
      </c>
      <c r="B207" s="14" t="s">
        <v>1238</v>
      </c>
      <c r="C207" s="32" t="s">
        <v>211</v>
      </c>
      <c r="D207" s="14" t="s">
        <v>1066</v>
      </c>
      <c r="E207" s="15" t="s">
        <v>2189</v>
      </c>
      <c r="F207" s="16" t="s">
        <v>2609</v>
      </c>
      <c r="G207" s="16" t="s">
        <v>2610</v>
      </c>
    </row>
    <row r="208" spans="1:7" x14ac:dyDescent="0.25">
      <c r="A208" s="9" t="s">
        <v>2590</v>
      </c>
      <c r="B208" s="10" t="s">
        <v>1238</v>
      </c>
      <c r="C208" s="31" t="s">
        <v>212</v>
      </c>
      <c r="D208" s="10" t="s">
        <v>1244</v>
      </c>
      <c r="E208" s="11" t="s">
        <v>2189</v>
      </c>
      <c r="F208" s="12" t="s">
        <v>2611</v>
      </c>
      <c r="G208" s="12" t="s">
        <v>2612</v>
      </c>
    </row>
    <row r="209" spans="1:7" x14ac:dyDescent="0.25">
      <c r="A209" s="13" t="s">
        <v>2590</v>
      </c>
      <c r="B209" s="14" t="s">
        <v>1238</v>
      </c>
      <c r="C209" s="32" t="s">
        <v>2059</v>
      </c>
      <c r="D209" s="14" t="s">
        <v>2136</v>
      </c>
      <c r="E209" s="15" t="s">
        <v>2189</v>
      </c>
      <c r="F209" s="16" t="s">
        <v>2613</v>
      </c>
      <c r="G209" s="16" t="s">
        <v>2614</v>
      </c>
    </row>
    <row r="210" spans="1:7" x14ac:dyDescent="0.25">
      <c r="A210" s="9" t="s">
        <v>2590</v>
      </c>
      <c r="B210" s="10" t="s">
        <v>1238</v>
      </c>
      <c r="C210" s="31" t="s">
        <v>213</v>
      </c>
      <c r="D210" s="10" t="s">
        <v>1070</v>
      </c>
      <c r="E210" s="11" t="s">
        <v>2189</v>
      </c>
      <c r="F210" s="12" t="s">
        <v>2615</v>
      </c>
      <c r="G210" s="12" t="s">
        <v>2616</v>
      </c>
    </row>
    <row r="211" spans="1:7" ht="24" x14ac:dyDescent="0.25">
      <c r="A211" s="13" t="s">
        <v>2590</v>
      </c>
      <c r="B211" s="14" t="s">
        <v>1238</v>
      </c>
      <c r="C211" s="32" t="s">
        <v>2080</v>
      </c>
      <c r="D211" s="14" t="s">
        <v>2153</v>
      </c>
      <c r="E211" s="15" t="s">
        <v>2189</v>
      </c>
      <c r="F211" s="16" t="s">
        <v>2617</v>
      </c>
      <c r="G211" s="16" t="s">
        <v>2618</v>
      </c>
    </row>
    <row r="212" spans="1:7" x14ac:dyDescent="0.25">
      <c r="A212" s="9" t="s">
        <v>2590</v>
      </c>
      <c r="B212" s="10" t="s">
        <v>1238</v>
      </c>
      <c r="C212" s="31" t="s">
        <v>214</v>
      </c>
      <c r="D212" s="10" t="s">
        <v>1245</v>
      </c>
      <c r="E212" s="11" t="s">
        <v>2189</v>
      </c>
      <c r="F212" s="12" t="s">
        <v>2619</v>
      </c>
      <c r="G212" s="12" t="s">
        <v>2620</v>
      </c>
    </row>
    <row r="213" spans="1:7" x14ac:dyDescent="0.25">
      <c r="A213" s="13" t="s">
        <v>2590</v>
      </c>
      <c r="B213" s="14" t="s">
        <v>1238</v>
      </c>
      <c r="C213" s="32" t="s">
        <v>2073</v>
      </c>
      <c r="D213" s="14" t="s">
        <v>2148</v>
      </c>
      <c r="E213" s="15" t="s">
        <v>2189</v>
      </c>
      <c r="F213" s="16" t="s">
        <v>2621</v>
      </c>
      <c r="G213" s="16" t="s">
        <v>2622</v>
      </c>
    </row>
    <row r="214" spans="1:7" ht="24" x14ac:dyDescent="0.25">
      <c r="A214" s="9" t="s">
        <v>2590</v>
      </c>
      <c r="B214" s="10" t="s">
        <v>1238</v>
      </c>
      <c r="C214" s="31" t="s">
        <v>215</v>
      </c>
      <c r="D214" s="10" t="s">
        <v>1246</v>
      </c>
      <c r="E214" s="11" t="s">
        <v>2189</v>
      </c>
      <c r="F214" s="12" t="s">
        <v>2623</v>
      </c>
      <c r="G214" s="12" t="s">
        <v>2624</v>
      </c>
    </row>
    <row r="215" spans="1:7" x14ac:dyDescent="0.25">
      <c r="A215" s="13" t="s">
        <v>2590</v>
      </c>
      <c r="B215" s="14" t="s">
        <v>1238</v>
      </c>
      <c r="C215" s="32" t="s">
        <v>216</v>
      </c>
      <c r="D215" s="14" t="s">
        <v>1247</v>
      </c>
      <c r="E215" s="15" t="s">
        <v>2189</v>
      </c>
      <c r="F215" s="16" t="s">
        <v>2625</v>
      </c>
      <c r="G215" s="16" t="s">
        <v>2626</v>
      </c>
    </row>
    <row r="216" spans="1:7" x14ac:dyDescent="0.25">
      <c r="A216" s="9" t="s">
        <v>2590</v>
      </c>
      <c r="B216" s="10" t="s">
        <v>1238</v>
      </c>
      <c r="C216" s="31" t="s">
        <v>217</v>
      </c>
      <c r="D216" s="10" t="s">
        <v>1248</v>
      </c>
      <c r="E216" s="11" t="s">
        <v>2189</v>
      </c>
      <c r="F216" s="12" t="s">
        <v>2627</v>
      </c>
      <c r="G216" s="12" t="s">
        <v>2628</v>
      </c>
    </row>
    <row r="217" spans="1:7" ht="24" x14ac:dyDescent="0.25">
      <c r="A217" s="13" t="s">
        <v>2590</v>
      </c>
      <c r="B217" s="14" t="s">
        <v>1238</v>
      </c>
      <c r="C217" s="32" t="s">
        <v>218</v>
      </c>
      <c r="D217" s="14" t="s">
        <v>1249</v>
      </c>
      <c r="E217" s="15" t="s">
        <v>2189</v>
      </c>
      <c r="F217" s="16" t="s">
        <v>2629</v>
      </c>
      <c r="G217" s="16" t="s">
        <v>2630</v>
      </c>
    </row>
    <row r="218" spans="1:7" x14ac:dyDescent="0.25">
      <c r="A218" s="9" t="s">
        <v>2590</v>
      </c>
      <c r="B218" s="10" t="s">
        <v>1238</v>
      </c>
      <c r="C218" s="31" t="s">
        <v>219</v>
      </c>
      <c r="D218" s="10" t="s">
        <v>1250</v>
      </c>
      <c r="E218" s="11" t="s">
        <v>2189</v>
      </c>
      <c r="F218" s="12" t="s">
        <v>2631</v>
      </c>
      <c r="G218" s="12" t="s">
        <v>2632</v>
      </c>
    </row>
    <row r="219" spans="1:7" x14ac:dyDescent="0.25">
      <c r="A219" s="13" t="s">
        <v>2590</v>
      </c>
      <c r="B219" s="14" t="s">
        <v>1238</v>
      </c>
      <c r="C219" s="32" t="s">
        <v>220</v>
      </c>
      <c r="D219" s="14" t="s">
        <v>1251</v>
      </c>
      <c r="E219" s="15" t="s">
        <v>2189</v>
      </c>
      <c r="F219" s="16" t="s">
        <v>2633</v>
      </c>
      <c r="G219" s="16" t="s">
        <v>2634</v>
      </c>
    </row>
    <row r="220" spans="1:7" x14ac:dyDescent="0.25">
      <c r="A220" s="9" t="s">
        <v>2590</v>
      </c>
      <c r="B220" s="10" t="s">
        <v>1238</v>
      </c>
      <c r="C220" s="31" t="s">
        <v>221</v>
      </c>
      <c r="D220" s="10" t="s">
        <v>1252</v>
      </c>
      <c r="E220" s="11" t="s">
        <v>2189</v>
      </c>
      <c r="F220" s="12" t="s">
        <v>2635</v>
      </c>
      <c r="G220" s="12" t="s">
        <v>2636</v>
      </c>
    </row>
    <row r="221" spans="1:7" x14ac:dyDescent="0.25">
      <c r="A221" s="13" t="s">
        <v>2590</v>
      </c>
      <c r="B221" s="14" t="s">
        <v>1238</v>
      </c>
      <c r="C221" s="32" t="s">
        <v>222</v>
      </c>
      <c r="D221" s="14" t="s">
        <v>1253</v>
      </c>
      <c r="E221" s="15" t="s">
        <v>2189</v>
      </c>
      <c r="F221" s="16" t="s">
        <v>2637</v>
      </c>
      <c r="G221" s="16" t="s">
        <v>2638</v>
      </c>
    </row>
    <row r="222" spans="1:7" x14ac:dyDescent="0.25">
      <c r="A222" s="9" t="s">
        <v>2590</v>
      </c>
      <c r="B222" s="10" t="s">
        <v>1238</v>
      </c>
      <c r="C222" s="31" t="s">
        <v>223</v>
      </c>
      <c r="D222" s="10" t="s">
        <v>1254</v>
      </c>
      <c r="E222" s="11" t="s">
        <v>2189</v>
      </c>
      <c r="F222" s="12" t="s">
        <v>2639</v>
      </c>
      <c r="G222" s="12" t="s">
        <v>2640</v>
      </c>
    </row>
    <row r="223" spans="1:7" ht="24" x14ac:dyDescent="0.25">
      <c r="A223" s="13" t="s">
        <v>2590</v>
      </c>
      <c r="B223" s="14" t="s">
        <v>1238</v>
      </c>
      <c r="C223" s="32" t="s">
        <v>224</v>
      </c>
      <c r="D223" s="14" t="s">
        <v>1255</v>
      </c>
      <c r="E223" s="15" t="s">
        <v>2189</v>
      </c>
      <c r="F223" s="16" t="s">
        <v>2641</v>
      </c>
      <c r="G223" s="16" t="s">
        <v>2642</v>
      </c>
    </row>
    <row r="224" spans="1:7" x14ac:dyDescent="0.25">
      <c r="A224" s="9" t="s">
        <v>2590</v>
      </c>
      <c r="B224" s="10" t="s">
        <v>1238</v>
      </c>
      <c r="C224" s="31" t="s">
        <v>225</v>
      </c>
      <c r="D224" s="10" t="s">
        <v>1256</v>
      </c>
      <c r="E224" s="11" t="s">
        <v>2189</v>
      </c>
      <c r="F224" s="12" t="s">
        <v>2643</v>
      </c>
      <c r="G224" s="12" t="s">
        <v>2644</v>
      </c>
    </row>
    <row r="225" spans="1:7" x14ac:dyDescent="0.25">
      <c r="A225" s="13" t="s">
        <v>2590</v>
      </c>
      <c r="B225" s="14" t="s">
        <v>1238</v>
      </c>
      <c r="C225" s="32" t="s">
        <v>226</v>
      </c>
      <c r="D225" s="14" t="s">
        <v>1257</v>
      </c>
      <c r="E225" s="15" t="s">
        <v>2189</v>
      </c>
      <c r="F225" s="16" t="s">
        <v>2645</v>
      </c>
      <c r="G225" s="16" t="s">
        <v>2646</v>
      </c>
    </row>
    <row r="226" spans="1:7" x14ac:dyDescent="0.25">
      <c r="A226" s="9" t="s">
        <v>2590</v>
      </c>
      <c r="B226" s="10" t="s">
        <v>1238</v>
      </c>
      <c r="C226" s="31" t="s">
        <v>227</v>
      </c>
      <c r="D226" s="10" t="s">
        <v>1258</v>
      </c>
      <c r="E226" s="11" t="s">
        <v>2189</v>
      </c>
      <c r="F226" s="12" t="s">
        <v>2647</v>
      </c>
      <c r="G226" s="12" t="s">
        <v>2648</v>
      </c>
    </row>
    <row r="227" spans="1:7" x14ac:dyDescent="0.25">
      <c r="A227" s="13" t="s">
        <v>2590</v>
      </c>
      <c r="B227" s="14" t="s">
        <v>1238</v>
      </c>
      <c r="C227" s="32" t="s">
        <v>228</v>
      </c>
      <c r="D227" s="14" t="s">
        <v>1259</v>
      </c>
      <c r="E227" s="15" t="s">
        <v>2189</v>
      </c>
      <c r="F227" s="16" t="s">
        <v>2649</v>
      </c>
      <c r="G227" s="16" t="s">
        <v>2650</v>
      </c>
    </row>
    <row r="228" spans="1:7" x14ac:dyDescent="0.25">
      <c r="A228" s="9" t="s">
        <v>2590</v>
      </c>
      <c r="B228" s="10" t="s">
        <v>1238</v>
      </c>
      <c r="C228" s="31" t="s">
        <v>2070</v>
      </c>
      <c r="D228" s="10" t="s">
        <v>2145</v>
      </c>
      <c r="E228" s="11" t="s">
        <v>2189</v>
      </c>
      <c r="F228" s="12" t="s">
        <v>2651</v>
      </c>
      <c r="G228" s="12" t="s">
        <v>2652</v>
      </c>
    </row>
    <row r="229" spans="1:7" x14ac:dyDescent="0.25">
      <c r="A229" s="13" t="s">
        <v>2590</v>
      </c>
      <c r="B229" s="14" t="s">
        <v>1238</v>
      </c>
      <c r="C229" s="32" t="s">
        <v>229</v>
      </c>
      <c r="D229" s="14" t="s">
        <v>1260</v>
      </c>
      <c r="E229" s="15" t="s">
        <v>2189</v>
      </c>
      <c r="F229" s="16" t="s">
        <v>2653</v>
      </c>
      <c r="G229" s="16" t="s">
        <v>2654</v>
      </c>
    </row>
    <row r="230" spans="1:7" x14ac:dyDescent="0.25">
      <c r="A230" s="9" t="s">
        <v>2590</v>
      </c>
      <c r="B230" s="10" t="s">
        <v>1238</v>
      </c>
      <c r="C230" s="31" t="s">
        <v>230</v>
      </c>
      <c r="D230" s="10" t="s">
        <v>1261</v>
      </c>
      <c r="E230" s="11" t="s">
        <v>2189</v>
      </c>
      <c r="F230" s="12" t="s">
        <v>2655</v>
      </c>
      <c r="G230" s="12" t="s">
        <v>2656</v>
      </c>
    </row>
    <row r="231" spans="1:7" x14ac:dyDescent="0.25">
      <c r="A231" s="13" t="s">
        <v>2590</v>
      </c>
      <c r="B231" s="14" t="s">
        <v>1238</v>
      </c>
      <c r="C231" s="32" t="s">
        <v>231</v>
      </c>
      <c r="D231" s="14" t="s">
        <v>1262</v>
      </c>
      <c r="E231" s="15" t="s">
        <v>2189</v>
      </c>
      <c r="F231" s="16" t="s">
        <v>2657</v>
      </c>
      <c r="G231" s="16" t="s">
        <v>2658</v>
      </c>
    </row>
    <row r="232" spans="1:7" x14ac:dyDescent="0.25">
      <c r="A232" s="9" t="s">
        <v>2590</v>
      </c>
      <c r="B232" s="10" t="s">
        <v>1238</v>
      </c>
      <c r="C232" s="31" t="s">
        <v>232</v>
      </c>
      <c r="D232" s="10" t="s">
        <v>1263</v>
      </c>
      <c r="E232" s="11" t="s">
        <v>2189</v>
      </c>
      <c r="F232" s="12" t="s">
        <v>2659</v>
      </c>
      <c r="G232" s="12" t="s">
        <v>2660</v>
      </c>
    </row>
    <row r="233" spans="1:7" x14ac:dyDescent="0.25">
      <c r="A233" s="13" t="s">
        <v>2590</v>
      </c>
      <c r="B233" s="14" t="s">
        <v>1238</v>
      </c>
      <c r="C233" s="32" t="s">
        <v>2056</v>
      </c>
      <c r="D233" s="14" t="s">
        <v>2133</v>
      </c>
      <c r="E233" s="15" t="s">
        <v>2189</v>
      </c>
      <c r="F233" s="16" t="s">
        <v>2661</v>
      </c>
      <c r="G233" s="16" t="s">
        <v>2662</v>
      </c>
    </row>
    <row r="234" spans="1:7" ht="24" x14ac:dyDescent="0.25">
      <c r="A234" s="9" t="s">
        <v>2590</v>
      </c>
      <c r="B234" s="10" t="s">
        <v>1238</v>
      </c>
      <c r="C234" s="31" t="s">
        <v>233</v>
      </c>
      <c r="D234" s="10" t="s">
        <v>1264</v>
      </c>
      <c r="E234" s="11" t="s">
        <v>2189</v>
      </c>
      <c r="F234" s="12" t="s">
        <v>2663</v>
      </c>
      <c r="G234" s="12" t="s">
        <v>2664</v>
      </c>
    </row>
    <row r="235" spans="1:7" x14ac:dyDescent="0.25">
      <c r="A235" s="13" t="s">
        <v>2590</v>
      </c>
      <c r="B235" s="14" t="s">
        <v>1238</v>
      </c>
      <c r="C235" s="32" t="s">
        <v>234</v>
      </c>
      <c r="D235" s="14" t="s">
        <v>1265</v>
      </c>
      <c r="E235" s="15" t="s">
        <v>2189</v>
      </c>
      <c r="F235" s="16" t="s">
        <v>2665</v>
      </c>
      <c r="G235" s="16" t="s">
        <v>2666</v>
      </c>
    </row>
    <row r="236" spans="1:7" x14ac:dyDescent="0.25">
      <c r="A236" s="9" t="s">
        <v>2590</v>
      </c>
      <c r="B236" s="10" t="s">
        <v>1238</v>
      </c>
      <c r="C236" s="31" t="s">
        <v>235</v>
      </c>
      <c r="D236" s="10" t="s">
        <v>1266</v>
      </c>
      <c r="E236" s="11" t="s">
        <v>2189</v>
      </c>
      <c r="F236" s="12" t="s">
        <v>2667</v>
      </c>
      <c r="G236" s="12" t="s">
        <v>2668</v>
      </c>
    </row>
    <row r="237" spans="1:7" ht="24" x14ac:dyDescent="0.25">
      <c r="A237" s="13" t="s">
        <v>2590</v>
      </c>
      <c r="B237" s="14" t="s">
        <v>1238</v>
      </c>
      <c r="C237" s="32" t="s">
        <v>236</v>
      </c>
      <c r="D237" s="14" t="s">
        <v>1267</v>
      </c>
      <c r="E237" s="15" t="s">
        <v>2189</v>
      </c>
      <c r="F237" s="16" t="s">
        <v>2669</v>
      </c>
      <c r="G237" s="16" t="s">
        <v>2670</v>
      </c>
    </row>
    <row r="238" spans="1:7" x14ac:dyDescent="0.25">
      <c r="A238" s="9" t="s">
        <v>2590</v>
      </c>
      <c r="B238" s="10" t="s">
        <v>1238</v>
      </c>
      <c r="C238" s="31" t="s">
        <v>237</v>
      </c>
      <c r="D238" s="10" t="s">
        <v>1268</v>
      </c>
      <c r="E238" s="11" t="s">
        <v>2189</v>
      </c>
      <c r="F238" s="12" t="s">
        <v>2671</v>
      </c>
      <c r="G238" s="12" t="s">
        <v>2672</v>
      </c>
    </row>
    <row r="239" spans="1:7" x14ac:dyDescent="0.25">
      <c r="A239" s="13" t="s">
        <v>2590</v>
      </c>
      <c r="B239" s="14" t="s">
        <v>1238</v>
      </c>
      <c r="C239" s="32" t="s">
        <v>238</v>
      </c>
      <c r="D239" s="14" t="s">
        <v>1269</v>
      </c>
      <c r="E239" s="15" t="s">
        <v>2189</v>
      </c>
      <c r="F239" s="16" t="s">
        <v>2673</v>
      </c>
      <c r="G239" s="16" t="s">
        <v>2674</v>
      </c>
    </row>
    <row r="240" spans="1:7" ht="24" x14ac:dyDescent="0.25">
      <c r="A240" s="9" t="s">
        <v>2590</v>
      </c>
      <c r="B240" s="10" t="s">
        <v>1238</v>
      </c>
      <c r="C240" s="31" t="s">
        <v>2101</v>
      </c>
      <c r="D240" s="10" t="s">
        <v>2171</v>
      </c>
      <c r="E240" s="11" t="s">
        <v>2189</v>
      </c>
      <c r="F240" s="12" t="s">
        <v>2675</v>
      </c>
      <c r="G240" s="12" t="s">
        <v>2676</v>
      </c>
    </row>
    <row r="241" spans="1:7" x14ac:dyDescent="0.25">
      <c r="A241" s="13" t="s">
        <v>2590</v>
      </c>
      <c r="B241" s="14" t="s">
        <v>1238</v>
      </c>
      <c r="C241" s="32" t="s">
        <v>239</v>
      </c>
      <c r="D241" s="14" t="s">
        <v>1270</v>
      </c>
      <c r="E241" s="15" t="s">
        <v>2189</v>
      </c>
      <c r="F241" s="16" t="s">
        <v>2677</v>
      </c>
      <c r="G241" s="16" t="s">
        <v>2678</v>
      </c>
    </row>
    <row r="242" spans="1:7" x14ac:dyDescent="0.25">
      <c r="A242" s="9" t="s">
        <v>2590</v>
      </c>
      <c r="B242" s="10" t="s">
        <v>1238</v>
      </c>
      <c r="C242" s="31" t="s">
        <v>240</v>
      </c>
      <c r="D242" s="10" t="s">
        <v>1271</v>
      </c>
      <c r="E242" s="11" t="s">
        <v>2189</v>
      </c>
      <c r="F242" s="12" t="s">
        <v>2679</v>
      </c>
      <c r="G242" s="12" t="s">
        <v>2680</v>
      </c>
    </row>
    <row r="243" spans="1:7" x14ac:dyDescent="0.25">
      <c r="A243" s="13" t="s">
        <v>2590</v>
      </c>
      <c r="B243" s="14" t="s">
        <v>1238</v>
      </c>
      <c r="C243" s="32" t="s">
        <v>241</v>
      </c>
      <c r="D243" s="14" t="s">
        <v>1104</v>
      </c>
      <c r="E243" s="15" t="s">
        <v>2189</v>
      </c>
      <c r="F243" s="16" t="s">
        <v>2681</v>
      </c>
      <c r="G243" s="16" t="s">
        <v>2682</v>
      </c>
    </row>
    <row r="244" spans="1:7" ht="24" x14ac:dyDescent="0.25">
      <c r="A244" s="9" t="s">
        <v>2590</v>
      </c>
      <c r="B244" s="10" t="s">
        <v>1238</v>
      </c>
      <c r="C244" s="31" t="s">
        <v>2068</v>
      </c>
      <c r="D244" s="10" t="s">
        <v>2144</v>
      </c>
      <c r="E244" s="11" t="s">
        <v>2189</v>
      </c>
      <c r="F244" s="12" t="s">
        <v>2683</v>
      </c>
      <c r="G244" s="12" t="s">
        <v>2684</v>
      </c>
    </row>
    <row r="245" spans="1:7" x14ac:dyDescent="0.25">
      <c r="A245" s="13" t="s">
        <v>2590</v>
      </c>
      <c r="B245" s="14" t="s">
        <v>1238</v>
      </c>
      <c r="C245" s="32" t="s">
        <v>242</v>
      </c>
      <c r="D245" s="14" t="s">
        <v>1272</v>
      </c>
      <c r="E245" s="15" t="s">
        <v>2189</v>
      </c>
      <c r="F245" s="16" t="s">
        <v>2685</v>
      </c>
      <c r="G245" s="16" t="s">
        <v>2686</v>
      </c>
    </row>
    <row r="246" spans="1:7" x14ac:dyDescent="0.25">
      <c r="A246" s="9" t="s">
        <v>2590</v>
      </c>
      <c r="B246" s="10" t="s">
        <v>1238</v>
      </c>
      <c r="C246" s="31" t="s">
        <v>2094</v>
      </c>
      <c r="D246" s="10" t="s">
        <v>1981</v>
      </c>
      <c r="E246" s="11" t="s">
        <v>2189</v>
      </c>
      <c r="F246" s="12" t="s">
        <v>2687</v>
      </c>
      <c r="G246" s="12" t="s">
        <v>2688</v>
      </c>
    </row>
    <row r="247" spans="1:7" x14ac:dyDescent="0.25">
      <c r="A247" s="13" t="s">
        <v>2590</v>
      </c>
      <c r="B247" s="14" t="s">
        <v>1238</v>
      </c>
      <c r="C247" s="32" t="s">
        <v>243</v>
      </c>
      <c r="D247" s="14" t="s">
        <v>1273</v>
      </c>
      <c r="E247" s="15" t="s">
        <v>2189</v>
      </c>
      <c r="F247" s="16" t="s">
        <v>2689</v>
      </c>
      <c r="G247" s="16" t="s">
        <v>2690</v>
      </c>
    </row>
    <row r="248" spans="1:7" ht="24" x14ac:dyDescent="0.25">
      <c r="A248" s="9" t="s">
        <v>2590</v>
      </c>
      <c r="B248" s="10" t="s">
        <v>1238</v>
      </c>
      <c r="C248" s="31" t="s">
        <v>244</v>
      </c>
      <c r="D248" s="10" t="s">
        <v>1274</v>
      </c>
      <c r="E248" s="11" t="s">
        <v>2189</v>
      </c>
      <c r="F248" s="12" t="s">
        <v>2691</v>
      </c>
      <c r="G248" s="12" t="s">
        <v>2692</v>
      </c>
    </row>
    <row r="249" spans="1:7" x14ac:dyDescent="0.25">
      <c r="A249" s="13" t="s">
        <v>2590</v>
      </c>
      <c r="B249" s="14" t="s">
        <v>1238</v>
      </c>
      <c r="C249" s="32" t="s">
        <v>245</v>
      </c>
      <c r="D249" s="14" t="s">
        <v>1275</v>
      </c>
      <c r="E249" s="15" t="s">
        <v>2189</v>
      </c>
      <c r="F249" s="16" t="s">
        <v>2693</v>
      </c>
      <c r="G249" s="16" t="s">
        <v>2694</v>
      </c>
    </row>
    <row r="250" spans="1:7" x14ac:dyDescent="0.25">
      <c r="A250" s="9" t="s">
        <v>2590</v>
      </c>
      <c r="B250" s="10" t="s">
        <v>1238</v>
      </c>
      <c r="C250" s="31" t="s">
        <v>246</v>
      </c>
      <c r="D250" s="10" t="s">
        <v>1276</v>
      </c>
      <c r="E250" s="11" t="s">
        <v>2189</v>
      </c>
      <c r="F250" s="12" t="s">
        <v>2695</v>
      </c>
      <c r="G250" s="12" t="s">
        <v>2696</v>
      </c>
    </row>
    <row r="251" spans="1:7" ht="24" x14ac:dyDescent="0.25">
      <c r="A251" s="13" t="s">
        <v>2590</v>
      </c>
      <c r="B251" s="14" t="s">
        <v>1238</v>
      </c>
      <c r="C251" s="32" t="s">
        <v>247</v>
      </c>
      <c r="D251" s="14" t="s">
        <v>1277</v>
      </c>
      <c r="E251" s="15" t="s">
        <v>2189</v>
      </c>
      <c r="F251" s="16" t="s">
        <v>2697</v>
      </c>
      <c r="G251" s="16" t="s">
        <v>2698</v>
      </c>
    </row>
    <row r="252" spans="1:7" x14ac:dyDescent="0.25">
      <c r="A252" s="9" t="s">
        <v>2590</v>
      </c>
      <c r="B252" s="10" t="s">
        <v>1238</v>
      </c>
      <c r="C252" s="31" t="s">
        <v>248</v>
      </c>
      <c r="D252" s="10" t="s">
        <v>1278</v>
      </c>
      <c r="E252" s="11" t="s">
        <v>2189</v>
      </c>
      <c r="F252" s="12" t="s">
        <v>2699</v>
      </c>
      <c r="G252" s="12" t="s">
        <v>2700</v>
      </c>
    </row>
    <row r="253" spans="1:7" x14ac:dyDescent="0.25">
      <c r="A253" s="13" t="s">
        <v>2590</v>
      </c>
      <c r="B253" s="14" t="s">
        <v>1238</v>
      </c>
      <c r="C253" s="32" t="s">
        <v>249</v>
      </c>
      <c r="D253" s="14" t="s">
        <v>1279</v>
      </c>
      <c r="E253" s="15" t="s">
        <v>2189</v>
      </c>
      <c r="F253" s="16" t="s">
        <v>2701</v>
      </c>
      <c r="G253" s="16" t="s">
        <v>2702</v>
      </c>
    </row>
    <row r="254" spans="1:7" x14ac:dyDescent="0.25">
      <c r="A254" s="9" t="s">
        <v>2590</v>
      </c>
      <c r="B254" s="10" t="s">
        <v>1238</v>
      </c>
      <c r="C254" s="31" t="s">
        <v>250</v>
      </c>
      <c r="D254" s="10" t="s">
        <v>1280</v>
      </c>
      <c r="E254" s="11" t="s">
        <v>2189</v>
      </c>
      <c r="F254" s="12" t="s">
        <v>2703</v>
      </c>
      <c r="G254" s="12" t="s">
        <v>2704</v>
      </c>
    </row>
    <row r="255" spans="1:7" x14ac:dyDescent="0.25">
      <c r="A255" s="13" t="s">
        <v>2590</v>
      </c>
      <c r="B255" s="14" t="s">
        <v>1238</v>
      </c>
      <c r="C255" s="32" t="s">
        <v>251</v>
      </c>
      <c r="D255" s="14" t="s">
        <v>1281</v>
      </c>
      <c r="E255" s="15" t="s">
        <v>2189</v>
      </c>
      <c r="F255" s="16" t="s">
        <v>2705</v>
      </c>
      <c r="G255" s="16" t="s">
        <v>2706</v>
      </c>
    </row>
    <row r="256" spans="1:7" x14ac:dyDescent="0.25">
      <c r="A256" s="9" t="s">
        <v>2590</v>
      </c>
      <c r="B256" s="10" t="s">
        <v>1238</v>
      </c>
      <c r="C256" s="31" t="s">
        <v>252</v>
      </c>
      <c r="D256" s="10" t="s">
        <v>1282</v>
      </c>
      <c r="E256" s="11" t="s">
        <v>2189</v>
      </c>
      <c r="F256" s="12" t="s">
        <v>2707</v>
      </c>
      <c r="G256" s="12" t="s">
        <v>2708</v>
      </c>
    </row>
    <row r="257" spans="1:7" x14ac:dyDescent="0.25">
      <c r="A257" s="13" t="s">
        <v>2590</v>
      </c>
      <c r="B257" s="14" t="s">
        <v>1238</v>
      </c>
      <c r="C257" s="32" t="s">
        <v>253</v>
      </c>
      <c r="D257" s="14" t="s">
        <v>1283</v>
      </c>
      <c r="E257" s="15" t="s">
        <v>2189</v>
      </c>
      <c r="F257" s="16" t="s">
        <v>2709</v>
      </c>
      <c r="G257" s="16" t="s">
        <v>2710</v>
      </c>
    </row>
    <row r="258" spans="1:7" ht="24" x14ac:dyDescent="0.25">
      <c r="A258" s="9" t="s">
        <v>2590</v>
      </c>
      <c r="B258" s="10" t="s">
        <v>1238</v>
      </c>
      <c r="C258" s="31" t="s">
        <v>254</v>
      </c>
      <c r="D258" s="10" t="s">
        <v>1284</v>
      </c>
      <c r="E258" s="11" t="s">
        <v>2189</v>
      </c>
      <c r="F258" s="12" t="s">
        <v>2711</v>
      </c>
      <c r="G258" s="12" t="s">
        <v>2712</v>
      </c>
    </row>
    <row r="259" spans="1:7" x14ac:dyDescent="0.25">
      <c r="A259" s="13" t="s">
        <v>2590</v>
      </c>
      <c r="B259" s="14" t="s">
        <v>1238</v>
      </c>
      <c r="C259" s="32" t="s">
        <v>255</v>
      </c>
      <c r="D259" s="14" t="s">
        <v>1285</v>
      </c>
      <c r="E259" s="15" t="s">
        <v>2189</v>
      </c>
      <c r="F259" s="16" t="s">
        <v>2713</v>
      </c>
      <c r="G259" s="16" t="s">
        <v>2714</v>
      </c>
    </row>
    <row r="260" spans="1:7" x14ac:dyDescent="0.25">
      <c r="A260" s="9" t="s">
        <v>2590</v>
      </c>
      <c r="B260" s="10" t="s">
        <v>1238</v>
      </c>
      <c r="C260" s="31" t="s">
        <v>256</v>
      </c>
      <c r="D260" s="10" t="s">
        <v>1286</v>
      </c>
      <c r="E260" s="11" t="s">
        <v>2189</v>
      </c>
      <c r="F260" s="12" t="s">
        <v>2715</v>
      </c>
      <c r="G260" s="12" t="s">
        <v>2716</v>
      </c>
    </row>
    <row r="261" spans="1:7" x14ac:dyDescent="0.25">
      <c r="A261" s="13" t="s">
        <v>2590</v>
      </c>
      <c r="B261" s="14" t="s">
        <v>1238</v>
      </c>
      <c r="C261" s="32" t="s">
        <v>257</v>
      </c>
      <c r="D261" s="14" t="s">
        <v>1287</v>
      </c>
      <c r="E261" s="15" t="s">
        <v>2189</v>
      </c>
      <c r="F261" s="16" t="s">
        <v>2717</v>
      </c>
      <c r="G261" s="16" t="s">
        <v>2718</v>
      </c>
    </row>
    <row r="262" spans="1:7" x14ac:dyDescent="0.25">
      <c r="A262" s="9" t="s">
        <v>2590</v>
      </c>
      <c r="B262" s="10" t="s">
        <v>1238</v>
      </c>
      <c r="C262" s="31" t="s">
        <v>2079</v>
      </c>
      <c r="D262" s="10" t="s">
        <v>1413</v>
      </c>
      <c r="E262" s="11" t="s">
        <v>2189</v>
      </c>
      <c r="F262" s="12" t="s">
        <v>2719</v>
      </c>
      <c r="G262" s="12" t="s">
        <v>2720</v>
      </c>
    </row>
    <row r="263" spans="1:7" x14ac:dyDescent="0.25">
      <c r="A263" s="13" t="s">
        <v>2590</v>
      </c>
      <c r="B263" s="14" t="s">
        <v>1238</v>
      </c>
      <c r="C263" s="32" t="s">
        <v>258</v>
      </c>
      <c r="D263" s="14" t="s">
        <v>1288</v>
      </c>
      <c r="E263" s="15" t="s">
        <v>2189</v>
      </c>
      <c r="F263" s="16" t="s">
        <v>2721</v>
      </c>
      <c r="G263" s="16" t="s">
        <v>2722</v>
      </c>
    </row>
    <row r="264" spans="1:7" x14ac:dyDescent="0.25">
      <c r="A264" s="9" t="s">
        <v>2590</v>
      </c>
      <c r="B264" s="10" t="s">
        <v>1238</v>
      </c>
      <c r="C264" s="31" t="s">
        <v>259</v>
      </c>
      <c r="D264" s="10" t="s">
        <v>1289</v>
      </c>
      <c r="E264" s="11" t="s">
        <v>2189</v>
      </c>
      <c r="F264" s="12" t="s">
        <v>2723</v>
      </c>
      <c r="G264" s="12" t="s">
        <v>2724</v>
      </c>
    </row>
    <row r="265" spans="1:7" x14ac:dyDescent="0.25">
      <c r="A265" s="13" t="s">
        <v>2590</v>
      </c>
      <c r="B265" s="14" t="s">
        <v>1238</v>
      </c>
      <c r="C265" s="32" t="s">
        <v>260</v>
      </c>
      <c r="D265" s="14" t="s">
        <v>1290</v>
      </c>
      <c r="E265" s="15" t="s">
        <v>2189</v>
      </c>
      <c r="F265" s="16" t="s">
        <v>2725</v>
      </c>
      <c r="G265" s="16" t="s">
        <v>2726</v>
      </c>
    </row>
    <row r="266" spans="1:7" x14ac:dyDescent="0.25">
      <c r="A266" s="9" t="s">
        <v>2590</v>
      </c>
      <c r="B266" s="10" t="s">
        <v>1238</v>
      </c>
      <c r="C266" s="31" t="s">
        <v>261</v>
      </c>
      <c r="D266" s="10" t="s">
        <v>1291</v>
      </c>
      <c r="E266" s="11" t="s">
        <v>2189</v>
      </c>
      <c r="F266" s="12" t="s">
        <v>2727</v>
      </c>
      <c r="G266" s="12" t="s">
        <v>2728</v>
      </c>
    </row>
    <row r="267" spans="1:7" x14ac:dyDescent="0.25">
      <c r="A267" s="13" t="s">
        <v>2590</v>
      </c>
      <c r="B267" s="14" t="s">
        <v>1238</v>
      </c>
      <c r="C267" s="32" t="s">
        <v>262</v>
      </c>
      <c r="D267" s="14" t="s">
        <v>1292</v>
      </c>
      <c r="E267" s="15" t="s">
        <v>2189</v>
      </c>
      <c r="F267" s="16" t="s">
        <v>2729</v>
      </c>
      <c r="G267" s="16" t="s">
        <v>2730</v>
      </c>
    </row>
    <row r="268" spans="1:7" x14ac:dyDescent="0.25">
      <c r="A268" s="9" t="s">
        <v>2590</v>
      </c>
      <c r="B268" s="10" t="s">
        <v>1238</v>
      </c>
      <c r="C268" s="31" t="s">
        <v>263</v>
      </c>
      <c r="D268" s="10" t="s">
        <v>1293</v>
      </c>
      <c r="E268" s="11" t="s">
        <v>2189</v>
      </c>
      <c r="F268" s="12" t="s">
        <v>2731</v>
      </c>
      <c r="G268" s="12" t="s">
        <v>2732</v>
      </c>
    </row>
    <row r="269" spans="1:7" x14ac:dyDescent="0.25">
      <c r="A269" s="13" t="s">
        <v>2590</v>
      </c>
      <c r="B269" s="14" t="s">
        <v>1238</v>
      </c>
      <c r="C269" s="32" t="s">
        <v>264</v>
      </c>
      <c r="D269" s="14" t="s">
        <v>1294</v>
      </c>
      <c r="E269" s="15" t="s">
        <v>2189</v>
      </c>
      <c r="F269" s="16" t="s">
        <v>2733</v>
      </c>
      <c r="G269" s="16" t="s">
        <v>2734</v>
      </c>
    </row>
    <row r="270" spans="1:7" x14ac:dyDescent="0.25">
      <c r="A270" s="9" t="s">
        <v>2590</v>
      </c>
      <c r="B270" s="10" t="s">
        <v>1238</v>
      </c>
      <c r="C270" s="31" t="s">
        <v>2067</v>
      </c>
      <c r="D270" s="10" t="s">
        <v>2143</v>
      </c>
      <c r="E270" s="11" t="s">
        <v>2189</v>
      </c>
      <c r="F270" s="12" t="s">
        <v>2735</v>
      </c>
      <c r="G270" s="12" t="s">
        <v>2736</v>
      </c>
    </row>
    <row r="271" spans="1:7" ht="24" x14ac:dyDescent="0.25">
      <c r="A271" s="13" t="s">
        <v>2590</v>
      </c>
      <c r="B271" s="14" t="s">
        <v>1238</v>
      </c>
      <c r="C271" s="32" t="s">
        <v>265</v>
      </c>
      <c r="D271" s="14" t="s">
        <v>2038</v>
      </c>
      <c r="E271" s="15" t="s">
        <v>2189</v>
      </c>
      <c r="F271" s="16" t="s">
        <v>2737</v>
      </c>
      <c r="G271" s="16" t="s">
        <v>2738</v>
      </c>
    </row>
    <row r="272" spans="1:7" x14ac:dyDescent="0.25">
      <c r="A272" s="9" t="s">
        <v>2590</v>
      </c>
      <c r="B272" s="10" t="s">
        <v>1238</v>
      </c>
      <c r="C272" s="31" t="s">
        <v>266</v>
      </c>
      <c r="D272" s="10" t="s">
        <v>1295</v>
      </c>
      <c r="E272" s="11" t="s">
        <v>2189</v>
      </c>
      <c r="F272" s="12" t="s">
        <v>2739</v>
      </c>
      <c r="G272" s="12" t="s">
        <v>2740</v>
      </c>
    </row>
    <row r="273" spans="1:7" x14ac:dyDescent="0.25">
      <c r="A273" s="13" t="s">
        <v>2590</v>
      </c>
      <c r="B273" s="14" t="s">
        <v>1238</v>
      </c>
      <c r="C273" s="32" t="s">
        <v>267</v>
      </c>
      <c r="D273" s="14" t="s">
        <v>1296</v>
      </c>
      <c r="E273" s="15" t="s">
        <v>2189</v>
      </c>
      <c r="F273" s="16" t="s">
        <v>2741</v>
      </c>
      <c r="G273" s="16" t="s">
        <v>2742</v>
      </c>
    </row>
    <row r="274" spans="1:7" x14ac:dyDescent="0.25">
      <c r="A274" s="9" t="s">
        <v>2590</v>
      </c>
      <c r="B274" s="10" t="s">
        <v>1238</v>
      </c>
      <c r="C274" s="31" t="s">
        <v>268</v>
      </c>
      <c r="D274" s="10" t="s">
        <v>1297</v>
      </c>
      <c r="E274" s="11" t="s">
        <v>2189</v>
      </c>
      <c r="F274" s="12" t="s">
        <v>2743</v>
      </c>
      <c r="G274" s="12" t="s">
        <v>2744</v>
      </c>
    </row>
    <row r="275" spans="1:7" x14ac:dyDescent="0.25">
      <c r="A275" s="13" t="s">
        <v>2590</v>
      </c>
      <c r="B275" s="14" t="s">
        <v>1238</v>
      </c>
      <c r="C275" s="32" t="s">
        <v>2061</v>
      </c>
      <c r="D275" s="14" t="s">
        <v>2138</v>
      </c>
      <c r="E275" s="15" t="s">
        <v>2189</v>
      </c>
      <c r="F275" s="16" t="s">
        <v>2745</v>
      </c>
      <c r="G275" s="16" t="s">
        <v>2746</v>
      </c>
    </row>
    <row r="276" spans="1:7" x14ac:dyDescent="0.25">
      <c r="A276" s="9" t="s">
        <v>2590</v>
      </c>
      <c r="B276" s="10" t="s">
        <v>1238</v>
      </c>
      <c r="C276" s="31" t="s">
        <v>269</v>
      </c>
      <c r="D276" s="10" t="s">
        <v>1298</v>
      </c>
      <c r="E276" s="11" t="s">
        <v>2189</v>
      </c>
      <c r="F276" s="12" t="s">
        <v>2747</v>
      </c>
      <c r="G276" s="12" t="s">
        <v>2748</v>
      </c>
    </row>
    <row r="277" spans="1:7" x14ac:dyDescent="0.25">
      <c r="A277" s="13" t="s">
        <v>2590</v>
      </c>
      <c r="B277" s="14" t="s">
        <v>1238</v>
      </c>
      <c r="C277" s="32" t="s">
        <v>270</v>
      </c>
      <c r="D277" s="14" t="s">
        <v>1299</v>
      </c>
      <c r="E277" s="15" t="s">
        <v>2189</v>
      </c>
      <c r="F277" s="16" t="s">
        <v>2749</v>
      </c>
      <c r="G277" s="16" t="s">
        <v>2750</v>
      </c>
    </row>
    <row r="278" spans="1:7" x14ac:dyDescent="0.25">
      <c r="A278" s="9" t="s">
        <v>2590</v>
      </c>
      <c r="B278" s="10" t="s">
        <v>1238</v>
      </c>
      <c r="C278" s="31" t="s">
        <v>271</v>
      </c>
      <c r="D278" s="10" t="s">
        <v>1300</v>
      </c>
      <c r="E278" s="11" t="s">
        <v>2189</v>
      </c>
      <c r="F278" s="12" t="s">
        <v>2751</v>
      </c>
      <c r="G278" s="12" t="s">
        <v>2752</v>
      </c>
    </row>
    <row r="279" spans="1:7" ht="24" x14ac:dyDescent="0.25">
      <c r="A279" s="13" t="s">
        <v>2590</v>
      </c>
      <c r="B279" s="14" t="s">
        <v>1238</v>
      </c>
      <c r="C279" s="32" t="s">
        <v>2082</v>
      </c>
      <c r="D279" s="14" t="s">
        <v>2155</v>
      </c>
      <c r="E279" s="15" t="s">
        <v>2189</v>
      </c>
      <c r="F279" s="16" t="s">
        <v>2753</v>
      </c>
      <c r="G279" s="16" t="s">
        <v>2754</v>
      </c>
    </row>
    <row r="280" spans="1:7" ht="24" x14ac:dyDescent="0.25">
      <c r="A280" s="9" t="s">
        <v>2590</v>
      </c>
      <c r="B280" s="10" t="s">
        <v>1238</v>
      </c>
      <c r="C280" s="31" t="s">
        <v>272</v>
      </c>
      <c r="D280" s="10" t="s">
        <v>1301</v>
      </c>
      <c r="E280" s="11" t="s">
        <v>2189</v>
      </c>
      <c r="F280" s="12" t="s">
        <v>2755</v>
      </c>
      <c r="G280" s="12" t="s">
        <v>2756</v>
      </c>
    </row>
    <row r="281" spans="1:7" ht="24" x14ac:dyDescent="0.25">
      <c r="A281" s="13" t="s">
        <v>2590</v>
      </c>
      <c r="B281" s="14" t="s">
        <v>1238</v>
      </c>
      <c r="C281" s="32" t="s">
        <v>273</v>
      </c>
      <c r="D281" s="14" t="s">
        <v>1302</v>
      </c>
      <c r="E281" s="15" t="s">
        <v>2189</v>
      </c>
      <c r="F281" s="16" t="s">
        <v>2757</v>
      </c>
      <c r="G281" s="16" t="s">
        <v>2758</v>
      </c>
    </row>
    <row r="282" spans="1:7" x14ac:dyDescent="0.25">
      <c r="A282" s="9" t="s">
        <v>2590</v>
      </c>
      <c r="B282" s="10" t="s">
        <v>1238</v>
      </c>
      <c r="C282" s="31" t="s">
        <v>2100</v>
      </c>
      <c r="D282" s="10" t="s">
        <v>2170</v>
      </c>
      <c r="E282" s="11" t="s">
        <v>2189</v>
      </c>
      <c r="F282" s="12" t="s">
        <v>2759</v>
      </c>
      <c r="G282" s="12" t="s">
        <v>2760</v>
      </c>
    </row>
    <row r="283" spans="1:7" ht="24" x14ac:dyDescent="0.25">
      <c r="A283" s="13" t="s">
        <v>2590</v>
      </c>
      <c r="B283" s="14" t="s">
        <v>1238</v>
      </c>
      <c r="C283" s="32" t="s">
        <v>274</v>
      </c>
      <c r="D283" s="14" t="s">
        <v>1303</v>
      </c>
      <c r="E283" s="15" t="s">
        <v>2189</v>
      </c>
      <c r="F283" s="16" t="s">
        <v>2761</v>
      </c>
      <c r="G283" s="16" t="s">
        <v>2762</v>
      </c>
    </row>
    <row r="284" spans="1:7" ht="24" x14ac:dyDescent="0.25">
      <c r="A284" s="9" t="s">
        <v>2590</v>
      </c>
      <c r="B284" s="10" t="s">
        <v>1238</v>
      </c>
      <c r="C284" s="31" t="s">
        <v>275</v>
      </c>
      <c r="D284" s="10" t="s">
        <v>1304</v>
      </c>
      <c r="E284" s="11" t="s">
        <v>2189</v>
      </c>
      <c r="F284" s="12" t="s">
        <v>2763</v>
      </c>
      <c r="G284" s="12" t="s">
        <v>2764</v>
      </c>
    </row>
    <row r="285" spans="1:7" x14ac:dyDescent="0.25">
      <c r="A285" s="13" t="s">
        <v>2590</v>
      </c>
      <c r="B285" s="14" t="s">
        <v>1238</v>
      </c>
      <c r="C285" s="32" t="s">
        <v>276</v>
      </c>
      <c r="D285" s="14" t="s">
        <v>1305</v>
      </c>
      <c r="E285" s="15" t="s">
        <v>2189</v>
      </c>
      <c r="F285" s="16" t="s">
        <v>2765</v>
      </c>
      <c r="G285" s="16" t="s">
        <v>2766</v>
      </c>
    </row>
    <row r="286" spans="1:7" ht="24" x14ac:dyDescent="0.25">
      <c r="A286" s="9" t="s">
        <v>2590</v>
      </c>
      <c r="B286" s="10" t="s">
        <v>1238</v>
      </c>
      <c r="C286" s="31" t="s">
        <v>277</v>
      </c>
      <c r="D286" s="10" t="s">
        <v>1306</v>
      </c>
      <c r="E286" s="11" t="s">
        <v>2189</v>
      </c>
      <c r="F286" s="12" t="s">
        <v>2767</v>
      </c>
      <c r="G286" s="12" t="s">
        <v>2768</v>
      </c>
    </row>
    <row r="287" spans="1:7" ht="36" x14ac:dyDescent="0.25">
      <c r="A287" s="13" t="s">
        <v>2590</v>
      </c>
      <c r="B287" s="14" t="s">
        <v>1238</v>
      </c>
      <c r="C287" s="32" t="s">
        <v>278</v>
      </c>
      <c r="D287" s="14" t="s">
        <v>1307</v>
      </c>
      <c r="E287" s="15" t="s">
        <v>2189</v>
      </c>
      <c r="F287" s="16" t="s">
        <v>2769</v>
      </c>
      <c r="G287" s="16" t="s">
        <v>2770</v>
      </c>
    </row>
    <row r="288" spans="1:7" ht="24" x14ac:dyDescent="0.25">
      <c r="A288" s="9" t="s">
        <v>2590</v>
      </c>
      <c r="B288" s="10" t="s">
        <v>1238</v>
      </c>
      <c r="C288" s="31" t="s">
        <v>279</v>
      </c>
      <c r="D288" s="10" t="s">
        <v>1308</v>
      </c>
      <c r="E288" s="11" t="s">
        <v>2189</v>
      </c>
      <c r="F288" s="12" t="s">
        <v>2771</v>
      </c>
      <c r="G288" s="12" t="s">
        <v>2772</v>
      </c>
    </row>
    <row r="289" spans="1:7" ht="24" x14ac:dyDescent="0.25">
      <c r="A289" s="13" t="s">
        <v>2590</v>
      </c>
      <c r="B289" s="14" t="s">
        <v>1238</v>
      </c>
      <c r="C289" s="32" t="s">
        <v>280</v>
      </c>
      <c r="D289" s="14" t="s">
        <v>1309</v>
      </c>
      <c r="E289" s="15" t="s">
        <v>2189</v>
      </c>
      <c r="F289" s="16" t="s">
        <v>2773</v>
      </c>
      <c r="G289" s="16" t="s">
        <v>2774</v>
      </c>
    </row>
    <row r="290" spans="1:7" x14ac:dyDescent="0.25">
      <c r="A290" s="9" t="s">
        <v>2590</v>
      </c>
      <c r="B290" s="10" t="s">
        <v>1238</v>
      </c>
      <c r="C290" s="31" t="s">
        <v>281</v>
      </c>
      <c r="D290" s="10" t="s">
        <v>1310</v>
      </c>
      <c r="E290" s="11" t="s">
        <v>2189</v>
      </c>
      <c r="F290" s="12" t="s">
        <v>2775</v>
      </c>
      <c r="G290" s="12" t="s">
        <v>2776</v>
      </c>
    </row>
    <row r="291" spans="1:7" x14ac:dyDescent="0.25">
      <c r="A291" s="13" t="s">
        <v>2590</v>
      </c>
      <c r="B291" s="14" t="s">
        <v>1238</v>
      </c>
      <c r="C291" s="32" t="s">
        <v>2013</v>
      </c>
      <c r="D291" s="14" t="s">
        <v>1311</v>
      </c>
      <c r="E291" s="15" t="s">
        <v>2189</v>
      </c>
      <c r="F291" s="16" t="s">
        <v>2777</v>
      </c>
      <c r="G291" s="16" t="s">
        <v>2778</v>
      </c>
    </row>
    <row r="292" spans="1:7" x14ac:dyDescent="0.25">
      <c r="A292" s="9" t="s">
        <v>2590</v>
      </c>
      <c r="B292" s="10" t="s">
        <v>1238</v>
      </c>
      <c r="C292" s="31" t="s">
        <v>2014</v>
      </c>
      <c r="D292" s="10" t="s">
        <v>1312</v>
      </c>
      <c r="E292" s="11" t="s">
        <v>2189</v>
      </c>
      <c r="F292" s="12" t="s">
        <v>2779</v>
      </c>
      <c r="G292" s="12" t="s">
        <v>2780</v>
      </c>
    </row>
    <row r="293" spans="1:7" x14ac:dyDescent="0.25">
      <c r="A293" s="13" t="s">
        <v>2590</v>
      </c>
      <c r="B293" s="14" t="s">
        <v>1238</v>
      </c>
      <c r="C293" s="32" t="s">
        <v>2058</v>
      </c>
      <c r="D293" s="14" t="s">
        <v>2135</v>
      </c>
      <c r="E293" s="15" t="s">
        <v>2189</v>
      </c>
      <c r="F293" s="16" t="s">
        <v>2781</v>
      </c>
      <c r="G293" s="16" t="s">
        <v>2782</v>
      </c>
    </row>
    <row r="294" spans="1:7" x14ac:dyDescent="0.25">
      <c r="A294" s="9" t="s">
        <v>2590</v>
      </c>
      <c r="B294" s="10" t="s">
        <v>1238</v>
      </c>
      <c r="C294" s="31" t="s">
        <v>282</v>
      </c>
      <c r="D294" s="10" t="s">
        <v>1313</v>
      </c>
      <c r="E294" s="11" t="s">
        <v>2189</v>
      </c>
      <c r="F294" s="12" t="s">
        <v>2783</v>
      </c>
      <c r="G294" s="12" t="s">
        <v>2784</v>
      </c>
    </row>
    <row r="295" spans="1:7" x14ac:dyDescent="0.25">
      <c r="A295" s="13" t="s">
        <v>2590</v>
      </c>
      <c r="B295" s="14" t="s">
        <v>1238</v>
      </c>
      <c r="C295" s="32" t="s">
        <v>283</v>
      </c>
      <c r="D295" s="14" t="s">
        <v>1314</v>
      </c>
      <c r="E295" s="15" t="s">
        <v>2189</v>
      </c>
      <c r="F295" s="16" t="s">
        <v>2785</v>
      </c>
      <c r="G295" s="16" t="s">
        <v>2786</v>
      </c>
    </row>
    <row r="296" spans="1:7" ht="24" x14ac:dyDescent="0.25">
      <c r="A296" s="9" t="s">
        <v>2590</v>
      </c>
      <c r="B296" s="10" t="s">
        <v>1238</v>
      </c>
      <c r="C296" s="31" t="s">
        <v>2072</v>
      </c>
      <c r="D296" s="10" t="s">
        <v>2147</v>
      </c>
      <c r="E296" s="11" t="s">
        <v>2189</v>
      </c>
      <c r="F296" s="12" t="s">
        <v>2787</v>
      </c>
      <c r="G296" s="12" t="s">
        <v>2788</v>
      </c>
    </row>
    <row r="297" spans="1:7" x14ac:dyDescent="0.25">
      <c r="A297" s="13" t="s">
        <v>2590</v>
      </c>
      <c r="B297" s="14" t="s">
        <v>1238</v>
      </c>
      <c r="C297" s="32" t="s">
        <v>2062</v>
      </c>
      <c r="D297" s="14" t="s">
        <v>2139</v>
      </c>
      <c r="E297" s="15" t="s">
        <v>2189</v>
      </c>
      <c r="F297" s="16" t="s">
        <v>2789</v>
      </c>
      <c r="G297" s="16" t="s">
        <v>2790</v>
      </c>
    </row>
    <row r="298" spans="1:7" x14ac:dyDescent="0.25">
      <c r="A298" s="9" t="s">
        <v>2590</v>
      </c>
      <c r="B298" s="10" t="s">
        <v>1238</v>
      </c>
      <c r="C298" s="31" t="s">
        <v>284</v>
      </c>
      <c r="D298" s="10" t="s">
        <v>1315</v>
      </c>
      <c r="E298" s="11" t="s">
        <v>2189</v>
      </c>
      <c r="F298" s="12" t="s">
        <v>2791</v>
      </c>
      <c r="G298" s="12" t="s">
        <v>2792</v>
      </c>
    </row>
    <row r="299" spans="1:7" x14ac:dyDescent="0.25">
      <c r="A299" s="13" t="s">
        <v>2590</v>
      </c>
      <c r="B299" s="14" t="s">
        <v>1238</v>
      </c>
      <c r="C299" s="32" t="s">
        <v>285</v>
      </c>
      <c r="D299" s="14" t="s">
        <v>1316</v>
      </c>
      <c r="E299" s="15" t="s">
        <v>2189</v>
      </c>
      <c r="F299" s="16" t="s">
        <v>2793</v>
      </c>
      <c r="G299" s="16" t="s">
        <v>2794</v>
      </c>
    </row>
    <row r="300" spans="1:7" x14ac:dyDescent="0.25">
      <c r="A300" s="9" t="s">
        <v>2590</v>
      </c>
      <c r="B300" s="10" t="s">
        <v>1238</v>
      </c>
      <c r="C300" s="31" t="s">
        <v>286</v>
      </c>
      <c r="D300" s="10" t="s">
        <v>1317</v>
      </c>
      <c r="E300" s="11" t="s">
        <v>2189</v>
      </c>
      <c r="F300" s="12" t="s">
        <v>2795</v>
      </c>
      <c r="G300" s="12" t="s">
        <v>2796</v>
      </c>
    </row>
    <row r="301" spans="1:7" ht="24" x14ac:dyDescent="0.25">
      <c r="A301" s="13" t="s">
        <v>2590</v>
      </c>
      <c r="B301" s="14" t="s">
        <v>1238</v>
      </c>
      <c r="C301" s="32" t="s">
        <v>287</v>
      </c>
      <c r="D301" s="14" t="s">
        <v>1318</v>
      </c>
      <c r="E301" s="15" t="s">
        <v>2189</v>
      </c>
      <c r="F301" s="16" t="s">
        <v>2797</v>
      </c>
      <c r="G301" s="16" t="s">
        <v>2798</v>
      </c>
    </row>
    <row r="302" spans="1:7" x14ac:dyDescent="0.25">
      <c r="A302" s="9" t="s">
        <v>2590</v>
      </c>
      <c r="B302" s="10" t="s">
        <v>1238</v>
      </c>
      <c r="C302" s="31" t="s">
        <v>2071</v>
      </c>
      <c r="D302" s="10" t="s">
        <v>2146</v>
      </c>
      <c r="E302" s="11" t="s">
        <v>2189</v>
      </c>
      <c r="F302" s="12" t="s">
        <v>2799</v>
      </c>
      <c r="G302" s="12" t="s">
        <v>2800</v>
      </c>
    </row>
    <row r="303" spans="1:7" x14ac:dyDescent="0.25">
      <c r="A303" s="13" t="s">
        <v>2590</v>
      </c>
      <c r="B303" s="14" t="s">
        <v>1238</v>
      </c>
      <c r="C303" s="32" t="s">
        <v>288</v>
      </c>
      <c r="D303" s="14" t="s">
        <v>1319</v>
      </c>
      <c r="E303" s="15" t="s">
        <v>2189</v>
      </c>
      <c r="F303" s="16" t="s">
        <v>2801</v>
      </c>
      <c r="G303" s="16" t="s">
        <v>2802</v>
      </c>
    </row>
    <row r="304" spans="1:7" x14ac:dyDescent="0.25">
      <c r="A304" s="9" t="s">
        <v>2590</v>
      </c>
      <c r="B304" s="10" t="s">
        <v>1238</v>
      </c>
      <c r="C304" s="31" t="s">
        <v>289</v>
      </c>
      <c r="D304" s="10" t="s">
        <v>1320</v>
      </c>
      <c r="E304" s="11" t="s">
        <v>2189</v>
      </c>
      <c r="F304" s="12" t="s">
        <v>2803</v>
      </c>
      <c r="G304" s="12" t="s">
        <v>2804</v>
      </c>
    </row>
    <row r="305" spans="1:7" x14ac:dyDescent="0.25">
      <c r="A305" s="13" t="s">
        <v>2590</v>
      </c>
      <c r="B305" s="14" t="s">
        <v>1238</v>
      </c>
      <c r="C305" s="32" t="s">
        <v>290</v>
      </c>
      <c r="D305" s="14" t="s">
        <v>1321</v>
      </c>
      <c r="E305" s="15" t="s">
        <v>2189</v>
      </c>
      <c r="F305" s="16" t="s">
        <v>2805</v>
      </c>
      <c r="G305" s="16" t="s">
        <v>2806</v>
      </c>
    </row>
    <row r="306" spans="1:7" x14ac:dyDescent="0.25">
      <c r="A306" s="9" t="s">
        <v>2590</v>
      </c>
      <c r="B306" s="10" t="s">
        <v>1238</v>
      </c>
      <c r="C306" s="31" t="s">
        <v>291</v>
      </c>
      <c r="D306" s="10" t="s">
        <v>1322</v>
      </c>
      <c r="E306" s="11" t="s">
        <v>2189</v>
      </c>
      <c r="F306" s="12" t="s">
        <v>2807</v>
      </c>
      <c r="G306" s="12" t="s">
        <v>2808</v>
      </c>
    </row>
    <row r="307" spans="1:7" x14ac:dyDescent="0.25">
      <c r="A307" s="13" t="s">
        <v>2590</v>
      </c>
      <c r="B307" s="14" t="s">
        <v>1238</v>
      </c>
      <c r="C307" s="32" t="s">
        <v>292</v>
      </c>
      <c r="D307" s="14" t="s">
        <v>1323</v>
      </c>
      <c r="E307" s="15" t="s">
        <v>2189</v>
      </c>
      <c r="F307" s="16" t="s">
        <v>2809</v>
      </c>
      <c r="G307" s="16" t="s">
        <v>2810</v>
      </c>
    </row>
    <row r="308" spans="1:7" x14ac:dyDescent="0.25">
      <c r="A308" s="9" t="s">
        <v>2590</v>
      </c>
      <c r="B308" s="10" t="s">
        <v>1238</v>
      </c>
      <c r="C308" s="31" t="s">
        <v>293</v>
      </c>
      <c r="D308" s="10" t="s">
        <v>1324</v>
      </c>
      <c r="E308" s="11" t="s">
        <v>2189</v>
      </c>
      <c r="F308" s="12" t="s">
        <v>2811</v>
      </c>
      <c r="G308" s="12" t="s">
        <v>2812</v>
      </c>
    </row>
    <row r="309" spans="1:7" x14ac:dyDescent="0.25">
      <c r="A309" s="13" t="s">
        <v>2590</v>
      </c>
      <c r="B309" s="14" t="s">
        <v>1238</v>
      </c>
      <c r="C309" s="32" t="s">
        <v>294</v>
      </c>
      <c r="D309" s="14" t="s">
        <v>1325</v>
      </c>
      <c r="E309" s="15" t="s">
        <v>2189</v>
      </c>
      <c r="F309" s="16" t="s">
        <v>2813</v>
      </c>
      <c r="G309" s="16" t="s">
        <v>2814</v>
      </c>
    </row>
    <row r="310" spans="1:7" x14ac:dyDescent="0.25">
      <c r="A310" s="9" t="s">
        <v>2590</v>
      </c>
      <c r="B310" s="10" t="s">
        <v>1238</v>
      </c>
      <c r="C310" s="31" t="s">
        <v>295</v>
      </c>
      <c r="D310" s="10" t="s">
        <v>1326</v>
      </c>
      <c r="E310" s="11" t="s">
        <v>2189</v>
      </c>
      <c r="F310" s="12" t="s">
        <v>2815</v>
      </c>
      <c r="G310" s="12" t="s">
        <v>2816</v>
      </c>
    </row>
    <row r="311" spans="1:7" x14ac:dyDescent="0.25">
      <c r="A311" s="13" t="s">
        <v>2590</v>
      </c>
      <c r="B311" s="14" t="s">
        <v>1238</v>
      </c>
      <c r="C311" s="32" t="s">
        <v>296</v>
      </c>
      <c r="D311" s="14" t="s">
        <v>1327</v>
      </c>
      <c r="E311" s="15" t="s">
        <v>2189</v>
      </c>
      <c r="F311" s="16" t="s">
        <v>2817</v>
      </c>
      <c r="G311" s="16" t="s">
        <v>2818</v>
      </c>
    </row>
    <row r="312" spans="1:7" x14ac:dyDescent="0.25">
      <c r="A312" s="9" t="s">
        <v>2590</v>
      </c>
      <c r="B312" s="10" t="s">
        <v>1238</v>
      </c>
      <c r="C312" s="31" t="s">
        <v>297</v>
      </c>
      <c r="D312" s="10" t="s">
        <v>1328</v>
      </c>
      <c r="E312" s="11" t="s">
        <v>2189</v>
      </c>
      <c r="F312" s="12" t="s">
        <v>2819</v>
      </c>
      <c r="G312" s="12" t="s">
        <v>2820</v>
      </c>
    </row>
    <row r="313" spans="1:7" x14ac:dyDescent="0.25">
      <c r="A313" s="13" t="s">
        <v>2590</v>
      </c>
      <c r="B313" s="14" t="s">
        <v>1238</v>
      </c>
      <c r="C313" s="32" t="s">
        <v>298</v>
      </c>
      <c r="D313" s="14" t="s">
        <v>1329</v>
      </c>
      <c r="E313" s="15" t="s">
        <v>2189</v>
      </c>
      <c r="F313" s="16" t="s">
        <v>2821</v>
      </c>
      <c r="G313" s="16" t="s">
        <v>2822</v>
      </c>
    </row>
    <row r="314" spans="1:7" x14ac:dyDescent="0.25">
      <c r="A314" s="9" t="s">
        <v>2590</v>
      </c>
      <c r="B314" s="10" t="s">
        <v>1238</v>
      </c>
      <c r="C314" s="31" t="s">
        <v>299</v>
      </c>
      <c r="D314" s="10" t="s">
        <v>1330</v>
      </c>
      <c r="E314" s="11" t="s">
        <v>2189</v>
      </c>
      <c r="F314" s="12" t="s">
        <v>2823</v>
      </c>
      <c r="G314" s="12" t="s">
        <v>2824</v>
      </c>
    </row>
    <row r="315" spans="1:7" x14ac:dyDescent="0.25">
      <c r="A315" s="13" t="s">
        <v>2590</v>
      </c>
      <c r="B315" s="14" t="s">
        <v>1238</v>
      </c>
      <c r="C315" s="32" t="s">
        <v>300</v>
      </c>
      <c r="D315" s="14" t="s">
        <v>1331</v>
      </c>
      <c r="E315" s="15" t="s">
        <v>2189</v>
      </c>
      <c r="F315" s="16" t="s">
        <v>2825</v>
      </c>
      <c r="G315" s="16" t="s">
        <v>2826</v>
      </c>
    </row>
    <row r="316" spans="1:7" x14ac:dyDescent="0.25">
      <c r="A316" s="9" t="s">
        <v>2590</v>
      </c>
      <c r="B316" s="10" t="s">
        <v>1238</v>
      </c>
      <c r="C316" s="31" t="s">
        <v>2057</v>
      </c>
      <c r="D316" s="10" t="s">
        <v>2134</v>
      </c>
      <c r="E316" s="11" t="s">
        <v>2189</v>
      </c>
      <c r="F316" s="12" t="s">
        <v>2827</v>
      </c>
      <c r="G316" s="12" t="s">
        <v>2828</v>
      </c>
    </row>
    <row r="317" spans="1:7" x14ac:dyDescent="0.25">
      <c r="A317" s="13" t="s">
        <v>2590</v>
      </c>
      <c r="B317" s="14" t="s">
        <v>1238</v>
      </c>
      <c r="C317" s="32" t="s">
        <v>301</v>
      </c>
      <c r="D317" s="14" t="s">
        <v>1332</v>
      </c>
      <c r="E317" s="15" t="s">
        <v>2189</v>
      </c>
      <c r="F317" s="16" t="s">
        <v>2829</v>
      </c>
      <c r="G317" s="16" t="s">
        <v>2830</v>
      </c>
    </row>
    <row r="318" spans="1:7" ht="24" x14ac:dyDescent="0.25">
      <c r="A318" s="9" t="s">
        <v>2590</v>
      </c>
      <c r="B318" s="10" t="s">
        <v>1238</v>
      </c>
      <c r="C318" s="31" t="s">
        <v>302</v>
      </c>
      <c r="D318" s="10" t="s">
        <v>1333</v>
      </c>
      <c r="E318" s="11" t="s">
        <v>2189</v>
      </c>
      <c r="F318" s="12" t="s">
        <v>2831</v>
      </c>
      <c r="G318" s="12" t="s">
        <v>2832</v>
      </c>
    </row>
    <row r="319" spans="1:7" x14ac:dyDescent="0.25">
      <c r="A319" s="13" t="s">
        <v>2590</v>
      </c>
      <c r="B319" s="14" t="s">
        <v>1238</v>
      </c>
      <c r="C319" s="32" t="s">
        <v>303</v>
      </c>
      <c r="D319" s="14" t="s">
        <v>1334</v>
      </c>
      <c r="E319" s="15" t="s">
        <v>2189</v>
      </c>
      <c r="F319" s="16" t="s">
        <v>2833</v>
      </c>
      <c r="G319" s="16" t="s">
        <v>2834</v>
      </c>
    </row>
    <row r="320" spans="1:7" x14ac:dyDescent="0.25">
      <c r="A320" s="9" t="s">
        <v>2590</v>
      </c>
      <c r="B320" s="10" t="s">
        <v>1238</v>
      </c>
      <c r="C320" s="31" t="s">
        <v>304</v>
      </c>
      <c r="D320" s="10" t="s">
        <v>1335</v>
      </c>
      <c r="E320" s="11" t="s">
        <v>2189</v>
      </c>
      <c r="F320" s="12" t="s">
        <v>2835</v>
      </c>
      <c r="G320" s="12" t="s">
        <v>2836</v>
      </c>
    </row>
    <row r="321" spans="1:7" x14ac:dyDescent="0.25">
      <c r="A321" s="13" t="s">
        <v>2837</v>
      </c>
      <c r="B321" s="14" t="s">
        <v>1070</v>
      </c>
      <c r="C321" s="32" t="s">
        <v>306</v>
      </c>
      <c r="D321" s="14" t="s">
        <v>1337</v>
      </c>
      <c r="E321" s="15" t="s">
        <v>2189</v>
      </c>
      <c r="F321" s="16" t="s">
        <v>2838</v>
      </c>
      <c r="G321" s="16" t="s">
        <v>2839</v>
      </c>
    </row>
    <row r="322" spans="1:7" x14ac:dyDescent="0.25">
      <c r="A322" s="9" t="s">
        <v>2837</v>
      </c>
      <c r="B322" s="10" t="s">
        <v>1070</v>
      </c>
      <c r="C322" s="31" t="s">
        <v>307</v>
      </c>
      <c r="D322" s="10" t="s">
        <v>1338</v>
      </c>
      <c r="E322" s="11" t="s">
        <v>2189</v>
      </c>
      <c r="F322" s="12" t="s">
        <v>2840</v>
      </c>
      <c r="G322" s="12" t="s">
        <v>2841</v>
      </c>
    </row>
    <row r="323" spans="1:7" x14ac:dyDescent="0.25">
      <c r="A323" s="13" t="s">
        <v>2837</v>
      </c>
      <c r="B323" s="14" t="s">
        <v>1070</v>
      </c>
      <c r="C323" s="32" t="s">
        <v>308</v>
      </c>
      <c r="D323" s="14" t="s">
        <v>1339</v>
      </c>
      <c r="E323" s="15" t="s">
        <v>2189</v>
      </c>
      <c r="F323" s="16" t="s">
        <v>2842</v>
      </c>
      <c r="G323" s="16" t="s">
        <v>2843</v>
      </c>
    </row>
    <row r="324" spans="1:7" x14ac:dyDescent="0.25">
      <c r="A324" s="9" t="s">
        <v>2837</v>
      </c>
      <c r="B324" s="10" t="s">
        <v>1070</v>
      </c>
      <c r="C324" s="31" t="s">
        <v>309</v>
      </c>
      <c r="D324" s="10" t="s">
        <v>1340</v>
      </c>
      <c r="E324" s="11" t="s">
        <v>2189</v>
      </c>
      <c r="F324" s="12" t="s">
        <v>2844</v>
      </c>
      <c r="G324" s="12" t="s">
        <v>2845</v>
      </c>
    </row>
    <row r="325" spans="1:7" ht="24" x14ac:dyDescent="0.25">
      <c r="A325" s="13" t="s">
        <v>2837</v>
      </c>
      <c r="B325" s="14" t="s">
        <v>1070</v>
      </c>
      <c r="C325" s="32" t="s">
        <v>310</v>
      </c>
      <c r="D325" s="14" t="s">
        <v>1341</v>
      </c>
      <c r="E325" s="15" t="s">
        <v>2189</v>
      </c>
      <c r="F325" s="16" t="s">
        <v>2846</v>
      </c>
      <c r="G325" s="16" t="s">
        <v>2847</v>
      </c>
    </row>
    <row r="326" spans="1:7" x14ac:dyDescent="0.25">
      <c r="A326" s="9" t="s">
        <v>2837</v>
      </c>
      <c r="B326" s="10" t="s">
        <v>1070</v>
      </c>
      <c r="C326" s="31" t="s">
        <v>311</v>
      </c>
      <c r="D326" s="10" t="s">
        <v>1342</v>
      </c>
      <c r="E326" s="11" t="s">
        <v>2189</v>
      </c>
      <c r="F326" s="12" t="s">
        <v>2848</v>
      </c>
      <c r="G326" s="12" t="s">
        <v>2849</v>
      </c>
    </row>
    <row r="327" spans="1:7" x14ac:dyDescent="0.25">
      <c r="A327" s="13" t="s">
        <v>2837</v>
      </c>
      <c r="B327" s="14" t="s">
        <v>1070</v>
      </c>
      <c r="C327" s="32" t="s">
        <v>312</v>
      </c>
      <c r="D327" s="14" t="s">
        <v>1343</v>
      </c>
      <c r="E327" s="15" t="s">
        <v>2189</v>
      </c>
      <c r="F327" s="16" t="s">
        <v>2850</v>
      </c>
      <c r="G327" s="16" t="s">
        <v>2851</v>
      </c>
    </row>
    <row r="328" spans="1:7" x14ac:dyDescent="0.25">
      <c r="A328" s="9" t="s">
        <v>2837</v>
      </c>
      <c r="B328" s="10" t="s">
        <v>1070</v>
      </c>
      <c r="C328" s="31" t="s">
        <v>313</v>
      </c>
      <c r="D328" s="10" t="s">
        <v>1344</v>
      </c>
      <c r="E328" s="11" t="s">
        <v>2189</v>
      </c>
      <c r="F328" s="12" t="s">
        <v>2852</v>
      </c>
      <c r="G328" s="12" t="s">
        <v>2853</v>
      </c>
    </row>
    <row r="329" spans="1:7" x14ac:dyDescent="0.25">
      <c r="A329" s="13" t="s">
        <v>2837</v>
      </c>
      <c r="B329" s="14" t="s">
        <v>1070</v>
      </c>
      <c r="C329" s="32" t="s">
        <v>314</v>
      </c>
      <c r="D329" s="14" t="s">
        <v>1345</v>
      </c>
      <c r="E329" s="15" t="s">
        <v>2189</v>
      </c>
      <c r="F329" s="16" t="s">
        <v>2854</v>
      </c>
      <c r="G329" s="16" t="s">
        <v>2855</v>
      </c>
    </row>
    <row r="330" spans="1:7" ht="24" x14ac:dyDescent="0.25">
      <c r="A330" s="9" t="s">
        <v>2837</v>
      </c>
      <c r="B330" s="10" t="s">
        <v>1070</v>
      </c>
      <c r="C330" s="31" t="s">
        <v>315</v>
      </c>
      <c r="D330" s="10" t="s">
        <v>1346</v>
      </c>
      <c r="E330" s="11" t="s">
        <v>2189</v>
      </c>
      <c r="F330" s="12" t="s">
        <v>2856</v>
      </c>
      <c r="G330" s="12" t="s">
        <v>2857</v>
      </c>
    </row>
    <row r="331" spans="1:7" x14ac:dyDescent="0.25">
      <c r="A331" s="13" t="s">
        <v>2837</v>
      </c>
      <c r="B331" s="14" t="s">
        <v>1070</v>
      </c>
      <c r="C331" s="32" t="s">
        <v>316</v>
      </c>
      <c r="D331" s="14" t="s">
        <v>1347</v>
      </c>
      <c r="E331" s="15" t="s">
        <v>2189</v>
      </c>
      <c r="F331" s="16" t="s">
        <v>2858</v>
      </c>
      <c r="G331" s="16" t="s">
        <v>2859</v>
      </c>
    </row>
    <row r="332" spans="1:7" ht="24" x14ac:dyDescent="0.25">
      <c r="A332" s="9" t="s">
        <v>2837</v>
      </c>
      <c r="B332" s="10" t="s">
        <v>1070</v>
      </c>
      <c r="C332" s="31" t="s">
        <v>317</v>
      </c>
      <c r="D332" s="10" t="s">
        <v>1348</v>
      </c>
      <c r="E332" s="11" t="s">
        <v>2189</v>
      </c>
      <c r="F332" s="12" t="s">
        <v>2860</v>
      </c>
      <c r="G332" s="12" t="s">
        <v>2861</v>
      </c>
    </row>
    <row r="333" spans="1:7" x14ac:dyDescent="0.25">
      <c r="A333" s="13" t="s">
        <v>2837</v>
      </c>
      <c r="B333" s="14" t="s">
        <v>1070</v>
      </c>
      <c r="C333" s="32" t="s">
        <v>318</v>
      </c>
      <c r="D333" s="14" t="s">
        <v>1349</v>
      </c>
      <c r="E333" s="15" t="s">
        <v>2189</v>
      </c>
      <c r="F333" s="16" t="s">
        <v>2862</v>
      </c>
      <c r="G333" s="16" t="s">
        <v>2863</v>
      </c>
    </row>
    <row r="334" spans="1:7" x14ac:dyDescent="0.25">
      <c r="A334" s="9" t="s">
        <v>2837</v>
      </c>
      <c r="B334" s="10" t="s">
        <v>1070</v>
      </c>
      <c r="C334" s="31" t="s">
        <v>319</v>
      </c>
      <c r="D334" s="10" t="s">
        <v>1350</v>
      </c>
      <c r="E334" s="11" t="s">
        <v>2189</v>
      </c>
      <c r="F334" s="12" t="s">
        <v>2864</v>
      </c>
      <c r="G334" s="12" t="s">
        <v>2865</v>
      </c>
    </row>
    <row r="335" spans="1:7" x14ac:dyDescent="0.25">
      <c r="A335" s="13" t="s">
        <v>2837</v>
      </c>
      <c r="B335" s="14" t="s">
        <v>1070</v>
      </c>
      <c r="C335" s="32" t="s">
        <v>320</v>
      </c>
      <c r="D335" s="14" t="s">
        <v>1351</v>
      </c>
      <c r="E335" s="15" t="s">
        <v>2189</v>
      </c>
      <c r="F335" s="16" t="s">
        <v>2866</v>
      </c>
      <c r="G335" s="16" t="s">
        <v>2867</v>
      </c>
    </row>
    <row r="336" spans="1:7" x14ac:dyDescent="0.25">
      <c r="A336" s="9" t="s">
        <v>2837</v>
      </c>
      <c r="B336" s="10" t="s">
        <v>1070</v>
      </c>
      <c r="C336" s="31" t="s">
        <v>321</v>
      </c>
      <c r="D336" s="10" t="s">
        <v>1352</v>
      </c>
      <c r="E336" s="11" t="s">
        <v>2189</v>
      </c>
      <c r="F336" s="12" t="s">
        <v>2868</v>
      </c>
      <c r="G336" s="12" t="s">
        <v>2869</v>
      </c>
    </row>
    <row r="337" spans="1:7" x14ac:dyDescent="0.25">
      <c r="A337" s="13" t="s">
        <v>2837</v>
      </c>
      <c r="B337" s="14" t="s">
        <v>1070</v>
      </c>
      <c r="C337" s="32" t="s">
        <v>322</v>
      </c>
      <c r="D337" s="14" t="s">
        <v>1353</v>
      </c>
      <c r="E337" s="15" t="s">
        <v>2189</v>
      </c>
      <c r="F337" s="16" t="s">
        <v>2870</v>
      </c>
      <c r="G337" s="16" t="s">
        <v>2871</v>
      </c>
    </row>
    <row r="338" spans="1:7" ht="24" x14ac:dyDescent="0.25">
      <c r="A338" s="9" t="s">
        <v>2837</v>
      </c>
      <c r="B338" s="10" t="s">
        <v>1070</v>
      </c>
      <c r="C338" s="31" t="s">
        <v>323</v>
      </c>
      <c r="D338" s="10" t="s">
        <v>1354</v>
      </c>
      <c r="E338" s="11" t="s">
        <v>2189</v>
      </c>
      <c r="F338" s="12" t="s">
        <v>2872</v>
      </c>
      <c r="G338" s="12" t="s">
        <v>2873</v>
      </c>
    </row>
    <row r="339" spans="1:7" x14ac:dyDescent="0.25">
      <c r="A339" s="13" t="s">
        <v>2837</v>
      </c>
      <c r="B339" s="14" t="s">
        <v>1070</v>
      </c>
      <c r="C339" s="32" t="s">
        <v>2015</v>
      </c>
      <c r="D339" s="14" t="s">
        <v>1355</v>
      </c>
      <c r="E339" s="15" t="s">
        <v>2189</v>
      </c>
      <c r="F339" s="16" t="s">
        <v>2874</v>
      </c>
      <c r="G339" s="16" t="s">
        <v>2875</v>
      </c>
    </row>
    <row r="340" spans="1:7" x14ac:dyDescent="0.25">
      <c r="A340" s="9" t="s">
        <v>2837</v>
      </c>
      <c r="B340" s="10" t="s">
        <v>1070</v>
      </c>
      <c r="C340" s="31" t="s">
        <v>324</v>
      </c>
      <c r="D340" s="10" t="s">
        <v>1356</v>
      </c>
      <c r="E340" s="11" t="s">
        <v>2189</v>
      </c>
      <c r="F340" s="12" t="s">
        <v>2876</v>
      </c>
      <c r="G340" s="12" t="s">
        <v>2877</v>
      </c>
    </row>
    <row r="341" spans="1:7" x14ac:dyDescent="0.25">
      <c r="A341" s="13" t="s">
        <v>2837</v>
      </c>
      <c r="B341" s="14" t="s">
        <v>1070</v>
      </c>
      <c r="C341" s="32" t="s">
        <v>325</v>
      </c>
      <c r="D341" s="14" t="s">
        <v>1357</v>
      </c>
      <c r="E341" s="15" t="s">
        <v>2189</v>
      </c>
      <c r="F341" s="16" t="s">
        <v>2878</v>
      </c>
      <c r="G341" s="16" t="s">
        <v>2879</v>
      </c>
    </row>
    <row r="342" spans="1:7" x14ac:dyDescent="0.25">
      <c r="A342" s="9" t="s">
        <v>2837</v>
      </c>
      <c r="B342" s="10" t="s">
        <v>1070</v>
      </c>
      <c r="C342" s="31" t="s">
        <v>326</v>
      </c>
      <c r="D342" s="10" t="s">
        <v>1358</v>
      </c>
      <c r="E342" s="11" t="s">
        <v>2189</v>
      </c>
      <c r="F342" s="12" t="s">
        <v>2880</v>
      </c>
      <c r="G342" s="12" t="s">
        <v>2881</v>
      </c>
    </row>
    <row r="343" spans="1:7" x14ac:dyDescent="0.25">
      <c r="A343" s="13" t="s">
        <v>2837</v>
      </c>
      <c r="B343" s="14" t="s">
        <v>1070</v>
      </c>
      <c r="C343" s="32" t="s">
        <v>327</v>
      </c>
      <c r="D343" s="14" t="s">
        <v>1359</v>
      </c>
      <c r="E343" s="15" t="s">
        <v>2189</v>
      </c>
      <c r="F343" s="16" t="s">
        <v>2882</v>
      </c>
      <c r="G343" s="16" t="s">
        <v>2883</v>
      </c>
    </row>
    <row r="344" spans="1:7" x14ac:dyDescent="0.25">
      <c r="A344" s="9" t="s">
        <v>2837</v>
      </c>
      <c r="B344" s="10" t="s">
        <v>1070</v>
      </c>
      <c r="C344" s="31" t="s">
        <v>328</v>
      </c>
      <c r="D344" s="10" t="s">
        <v>1360</v>
      </c>
      <c r="E344" s="11" t="s">
        <v>2189</v>
      </c>
      <c r="F344" s="12" t="s">
        <v>2884</v>
      </c>
      <c r="G344" s="12" t="s">
        <v>2885</v>
      </c>
    </row>
    <row r="345" spans="1:7" x14ac:dyDescent="0.25">
      <c r="A345" s="13" t="s">
        <v>2837</v>
      </c>
      <c r="B345" s="14" t="s">
        <v>1070</v>
      </c>
      <c r="C345" s="32" t="s">
        <v>329</v>
      </c>
      <c r="D345" s="14" t="s">
        <v>1361</v>
      </c>
      <c r="E345" s="15" t="s">
        <v>2189</v>
      </c>
      <c r="F345" s="16" t="s">
        <v>2886</v>
      </c>
      <c r="G345" s="16" t="s">
        <v>2887</v>
      </c>
    </row>
    <row r="346" spans="1:7" x14ac:dyDescent="0.25">
      <c r="A346" s="9" t="s">
        <v>2837</v>
      </c>
      <c r="B346" s="10" t="s">
        <v>1070</v>
      </c>
      <c r="C346" s="31" t="s">
        <v>330</v>
      </c>
      <c r="D346" s="10" t="s">
        <v>1362</v>
      </c>
      <c r="E346" s="11" t="s">
        <v>2189</v>
      </c>
      <c r="F346" s="12" t="s">
        <v>2888</v>
      </c>
      <c r="G346" s="12" t="s">
        <v>2889</v>
      </c>
    </row>
    <row r="347" spans="1:7" x14ac:dyDescent="0.25">
      <c r="A347" s="13" t="s">
        <v>2837</v>
      </c>
      <c r="B347" s="14" t="s">
        <v>1070</v>
      </c>
      <c r="C347" s="32" t="s">
        <v>331</v>
      </c>
      <c r="D347" s="14" t="s">
        <v>1363</v>
      </c>
      <c r="E347" s="15" t="s">
        <v>2189</v>
      </c>
      <c r="F347" s="16" t="s">
        <v>2890</v>
      </c>
      <c r="G347" s="16" t="s">
        <v>2891</v>
      </c>
    </row>
    <row r="348" spans="1:7" x14ac:dyDescent="0.25">
      <c r="A348" s="9" t="s">
        <v>2892</v>
      </c>
      <c r="B348" s="10" t="s">
        <v>1364</v>
      </c>
      <c r="C348" s="31" t="s">
        <v>332</v>
      </c>
      <c r="D348" s="10" t="s">
        <v>1365</v>
      </c>
      <c r="E348" s="11" t="s">
        <v>2189</v>
      </c>
      <c r="F348" s="12" t="s">
        <v>2893</v>
      </c>
      <c r="G348" s="12" t="s">
        <v>2894</v>
      </c>
    </row>
    <row r="349" spans="1:7" x14ac:dyDescent="0.25">
      <c r="A349" s="13" t="s">
        <v>2892</v>
      </c>
      <c r="B349" s="14" t="s">
        <v>1364</v>
      </c>
      <c r="C349" s="32" t="s">
        <v>333</v>
      </c>
      <c r="D349" s="14" t="s">
        <v>1366</v>
      </c>
      <c r="E349" s="15" t="s">
        <v>2189</v>
      </c>
      <c r="F349" s="16" t="s">
        <v>2895</v>
      </c>
      <c r="G349" s="16" t="s">
        <v>2896</v>
      </c>
    </row>
    <row r="350" spans="1:7" ht="36" x14ac:dyDescent="0.25">
      <c r="A350" s="9" t="s">
        <v>2892</v>
      </c>
      <c r="B350" s="10" t="s">
        <v>1364</v>
      </c>
      <c r="C350" s="31" t="s">
        <v>334</v>
      </c>
      <c r="D350" s="10" t="s">
        <v>1367</v>
      </c>
      <c r="E350" s="11" t="s">
        <v>2189</v>
      </c>
      <c r="F350" s="12" t="s">
        <v>2897</v>
      </c>
      <c r="G350" s="12" t="s">
        <v>2898</v>
      </c>
    </row>
    <row r="351" spans="1:7" ht="24" x14ac:dyDescent="0.25">
      <c r="A351" s="13" t="s">
        <v>2892</v>
      </c>
      <c r="B351" s="14" t="s">
        <v>1364</v>
      </c>
      <c r="C351" s="32" t="s">
        <v>335</v>
      </c>
      <c r="D351" s="14" t="s">
        <v>1368</v>
      </c>
      <c r="E351" s="15" t="s">
        <v>2189</v>
      </c>
      <c r="F351" s="16" t="s">
        <v>2899</v>
      </c>
      <c r="G351" s="16" t="s">
        <v>2900</v>
      </c>
    </row>
    <row r="352" spans="1:7" x14ac:dyDescent="0.25">
      <c r="A352" s="9" t="s">
        <v>2892</v>
      </c>
      <c r="B352" s="10" t="s">
        <v>1364</v>
      </c>
      <c r="C352" s="31" t="s">
        <v>336</v>
      </c>
      <c r="D352" s="10" t="s">
        <v>1369</v>
      </c>
      <c r="E352" s="11" t="s">
        <v>2189</v>
      </c>
      <c r="F352" s="12" t="s">
        <v>2901</v>
      </c>
      <c r="G352" s="12" t="s">
        <v>2902</v>
      </c>
    </row>
    <row r="353" spans="1:7" ht="24" x14ac:dyDescent="0.25">
      <c r="A353" s="13" t="s">
        <v>2892</v>
      </c>
      <c r="B353" s="14" t="s">
        <v>1364</v>
      </c>
      <c r="C353" s="32" t="s">
        <v>337</v>
      </c>
      <c r="D353" s="14" t="s">
        <v>1370</v>
      </c>
      <c r="E353" s="15" t="s">
        <v>2189</v>
      </c>
      <c r="F353" s="16" t="s">
        <v>2903</v>
      </c>
      <c r="G353" s="16" t="s">
        <v>2904</v>
      </c>
    </row>
    <row r="354" spans="1:7" x14ac:dyDescent="0.25">
      <c r="A354" s="9" t="s">
        <v>2892</v>
      </c>
      <c r="B354" s="10" t="s">
        <v>1364</v>
      </c>
      <c r="C354" s="31" t="s">
        <v>338</v>
      </c>
      <c r="D354" s="10" t="s">
        <v>1371</v>
      </c>
      <c r="E354" s="11" t="s">
        <v>2189</v>
      </c>
      <c r="F354" s="12" t="s">
        <v>2905</v>
      </c>
      <c r="G354" s="12" t="s">
        <v>2906</v>
      </c>
    </row>
    <row r="355" spans="1:7" ht="24" x14ac:dyDescent="0.25">
      <c r="A355" s="13" t="s">
        <v>2892</v>
      </c>
      <c r="B355" s="14" t="s">
        <v>1364</v>
      </c>
      <c r="C355" s="32" t="s">
        <v>339</v>
      </c>
      <c r="D355" s="14" t="s">
        <v>1372</v>
      </c>
      <c r="E355" s="15" t="s">
        <v>2189</v>
      </c>
      <c r="F355" s="16" t="s">
        <v>2907</v>
      </c>
      <c r="G355" s="16" t="s">
        <v>2908</v>
      </c>
    </row>
    <row r="356" spans="1:7" x14ac:dyDescent="0.25">
      <c r="A356" s="9" t="s">
        <v>2892</v>
      </c>
      <c r="B356" s="10" t="s">
        <v>1364</v>
      </c>
      <c r="C356" s="31" t="s">
        <v>340</v>
      </c>
      <c r="D356" s="10" t="s">
        <v>1373</v>
      </c>
      <c r="E356" s="11" t="s">
        <v>2189</v>
      </c>
      <c r="F356" s="12" t="s">
        <v>2909</v>
      </c>
      <c r="G356" s="12" t="s">
        <v>2910</v>
      </c>
    </row>
    <row r="357" spans="1:7" x14ac:dyDescent="0.25">
      <c r="A357" s="13" t="s">
        <v>2892</v>
      </c>
      <c r="B357" s="14" t="s">
        <v>1364</v>
      </c>
      <c r="C357" s="32" t="s">
        <v>341</v>
      </c>
      <c r="D357" s="14" t="s">
        <v>1374</v>
      </c>
      <c r="E357" s="15" t="s">
        <v>2189</v>
      </c>
      <c r="F357" s="16" t="s">
        <v>2911</v>
      </c>
      <c r="G357" s="16" t="s">
        <v>2912</v>
      </c>
    </row>
    <row r="358" spans="1:7" ht="24" x14ac:dyDescent="0.25">
      <c r="A358" s="9" t="s">
        <v>2892</v>
      </c>
      <c r="B358" s="10" t="s">
        <v>1364</v>
      </c>
      <c r="C358" s="31" t="s">
        <v>342</v>
      </c>
      <c r="D358" s="10" t="s">
        <v>1375</v>
      </c>
      <c r="E358" s="11" t="s">
        <v>2189</v>
      </c>
      <c r="F358" s="12" t="s">
        <v>2913</v>
      </c>
      <c r="G358" s="12" t="s">
        <v>2914</v>
      </c>
    </row>
    <row r="359" spans="1:7" ht="36" x14ac:dyDescent="0.25">
      <c r="A359" s="13" t="s">
        <v>2892</v>
      </c>
      <c r="B359" s="14" t="s">
        <v>1364</v>
      </c>
      <c r="C359" s="32" t="s">
        <v>343</v>
      </c>
      <c r="D359" s="14" t="s">
        <v>1376</v>
      </c>
      <c r="E359" s="15" t="s">
        <v>2189</v>
      </c>
      <c r="F359" s="16" t="s">
        <v>2915</v>
      </c>
      <c r="G359" s="16" t="s">
        <v>2916</v>
      </c>
    </row>
    <row r="360" spans="1:7" ht="48" x14ac:dyDescent="0.25">
      <c r="A360" s="9" t="s">
        <v>2892</v>
      </c>
      <c r="B360" s="10" t="s">
        <v>1364</v>
      </c>
      <c r="C360" s="31" t="s">
        <v>344</v>
      </c>
      <c r="D360" s="10" t="s">
        <v>1377</v>
      </c>
      <c r="E360" s="11" t="s">
        <v>2189</v>
      </c>
      <c r="F360" s="12" t="s">
        <v>2917</v>
      </c>
      <c r="G360" s="12" t="s">
        <v>2918</v>
      </c>
    </row>
    <row r="361" spans="1:7" x14ac:dyDescent="0.25">
      <c r="A361" s="13" t="s">
        <v>2892</v>
      </c>
      <c r="B361" s="14" t="s">
        <v>1364</v>
      </c>
      <c r="C361" s="32" t="s">
        <v>345</v>
      </c>
      <c r="D361" s="14" t="s">
        <v>1378</v>
      </c>
      <c r="E361" s="15" t="s">
        <v>2189</v>
      </c>
      <c r="F361" s="16" t="s">
        <v>2919</v>
      </c>
      <c r="G361" s="16" t="s">
        <v>2920</v>
      </c>
    </row>
    <row r="362" spans="1:7" x14ac:dyDescent="0.25">
      <c r="A362" s="9" t="s">
        <v>2892</v>
      </c>
      <c r="B362" s="10" t="s">
        <v>1364</v>
      </c>
      <c r="C362" s="31" t="s">
        <v>346</v>
      </c>
      <c r="D362" s="10" t="s">
        <v>1379</v>
      </c>
      <c r="E362" s="11" t="s">
        <v>2189</v>
      </c>
      <c r="F362" s="12" t="s">
        <v>2921</v>
      </c>
      <c r="G362" s="12" t="s">
        <v>2922</v>
      </c>
    </row>
    <row r="363" spans="1:7" x14ac:dyDescent="0.25">
      <c r="A363" s="13" t="s">
        <v>2892</v>
      </c>
      <c r="B363" s="14" t="s">
        <v>1364</v>
      </c>
      <c r="C363" s="32" t="s">
        <v>347</v>
      </c>
      <c r="D363" s="14" t="s">
        <v>1155</v>
      </c>
      <c r="E363" s="15" t="s">
        <v>2189</v>
      </c>
      <c r="F363" s="16" t="s">
        <v>2923</v>
      </c>
      <c r="G363" s="16" t="s">
        <v>2924</v>
      </c>
    </row>
    <row r="364" spans="1:7" x14ac:dyDescent="0.25">
      <c r="A364" s="9" t="s">
        <v>2925</v>
      </c>
      <c r="B364" s="10" t="s">
        <v>1395</v>
      </c>
      <c r="C364" s="31" t="s">
        <v>363</v>
      </c>
      <c r="D364" s="10" t="s">
        <v>1396</v>
      </c>
      <c r="E364" s="11" t="s">
        <v>2189</v>
      </c>
      <c r="F364" s="12" t="s">
        <v>2926</v>
      </c>
      <c r="G364" s="12" t="s">
        <v>2927</v>
      </c>
    </row>
    <row r="365" spans="1:7" x14ac:dyDescent="0.25">
      <c r="A365" s="13" t="s">
        <v>2925</v>
      </c>
      <c r="B365" s="14" t="s">
        <v>1395</v>
      </c>
      <c r="C365" s="32" t="s">
        <v>2114</v>
      </c>
      <c r="D365" s="14" t="s">
        <v>2183</v>
      </c>
      <c r="E365" s="15" t="s">
        <v>2189</v>
      </c>
      <c r="F365" s="16" t="s">
        <v>2928</v>
      </c>
      <c r="G365" s="16" t="s">
        <v>2929</v>
      </c>
    </row>
    <row r="366" spans="1:7" x14ac:dyDescent="0.25">
      <c r="A366" s="9" t="s">
        <v>2925</v>
      </c>
      <c r="B366" s="10" t="s">
        <v>1395</v>
      </c>
      <c r="C366" s="31" t="s">
        <v>364</v>
      </c>
      <c r="D366" s="10" t="s">
        <v>1058</v>
      </c>
      <c r="E366" s="11" t="s">
        <v>2189</v>
      </c>
      <c r="F366" s="12" t="s">
        <v>2930</v>
      </c>
      <c r="G366" s="12" t="s">
        <v>2931</v>
      </c>
    </row>
    <row r="367" spans="1:7" x14ac:dyDescent="0.25">
      <c r="A367" s="13" t="s">
        <v>2925</v>
      </c>
      <c r="B367" s="14" t="s">
        <v>1395</v>
      </c>
      <c r="C367" s="32" t="s">
        <v>365</v>
      </c>
      <c r="D367" s="14" t="s">
        <v>1397</v>
      </c>
      <c r="E367" s="15" t="s">
        <v>2189</v>
      </c>
      <c r="F367" s="16" t="s">
        <v>2932</v>
      </c>
      <c r="G367" s="16" t="s">
        <v>2933</v>
      </c>
    </row>
    <row r="368" spans="1:7" x14ac:dyDescent="0.25">
      <c r="A368" s="9" t="s">
        <v>2925</v>
      </c>
      <c r="B368" s="10" t="s">
        <v>1395</v>
      </c>
      <c r="C368" s="31" t="s">
        <v>366</v>
      </c>
      <c r="D368" s="10" t="s">
        <v>1194</v>
      </c>
      <c r="E368" s="11" t="s">
        <v>2189</v>
      </c>
      <c r="F368" s="12" t="s">
        <v>2934</v>
      </c>
      <c r="G368" s="12" t="s">
        <v>2935</v>
      </c>
    </row>
    <row r="369" spans="1:7" ht="24" x14ac:dyDescent="0.25">
      <c r="A369" s="13" t="s">
        <v>2925</v>
      </c>
      <c r="B369" s="14" t="s">
        <v>1395</v>
      </c>
      <c r="C369" s="32" t="s">
        <v>367</v>
      </c>
      <c r="D369" s="14" t="s">
        <v>1398</v>
      </c>
      <c r="E369" s="15" t="s">
        <v>2189</v>
      </c>
      <c r="F369" s="16" t="s">
        <v>2936</v>
      </c>
      <c r="G369" s="16" t="s">
        <v>2937</v>
      </c>
    </row>
    <row r="370" spans="1:7" x14ac:dyDescent="0.25">
      <c r="A370" s="9" t="s">
        <v>2925</v>
      </c>
      <c r="B370" s="10" t="s">
        <v>1395</v>
      </c>
      <c r="C370" s="31" t="s">
        <v>368</v>
      </c>
      <c r="D370" s="10" t="s">
        <v>1399</v>
      </c>
      <c r="E370" s="11" t="s">
        <v>2189</v>
      </c>
      <c r="F370" s="12" t="s">
        <v>2938</v>
      </c>
      <c r="G370" s="12" t="s">
        <v>2939</v>
      </c>
    </row>
    <row r="371" spans="1:7" x14ac:dyDescent="0.25">
      <c r="A371" s="13" t="s">
        <v>2925</v>
      </c>
      <c r="B371" s="14" t="s">
        <v>1395</v>
      </c>
      <c r="C371" s="32" t="s">
        <v>369</v>
      </c>
      <c r="D371" s="14" t="s">
        <v>1400</v>
      </c>
      <c r="E371" s="15" t="s">
        <v>2189</v>
      </c>
      <c r="F371" s="16" t="s">
        <v>2940</v>
      </c>
      <c r="G371" s="16" t="s">
        <v>2941</v>
      </c>
    </row>
    <row r="372" spans="1:7" x14ac:dyDescent="0.25">
      <c r="A372" s="9" t="s">
        <v>2925</v>
      </c>
      <c r="B372" s="10" t="s">
        <v>1395</v>
      </c>
      <c r="C372" s="31" t="s">
        <v>370</v>
      </c>
      <c r="D372" s="10" t="s">
        <v>1401</v>
      </c>
      <c r="E372" s="11" t="s">
        <v>2189</v>
      </c>
      <c r="F372" s="12" t="s">
        <v>2942</v>
      </c>
      <c r="G372" s="12" t="s">
        <v>2943</v>
      </c>
    </row>
    <row r="373" spans="1:7" x14ac:dyDescent="0.25">
      <c r="A373" s="13" t="s">
        <v>2925</v>
      </c>
      <c r="B373" s="14" t="s">
        <v>1395</v>
      </c>
      <c r="C373" s="32" t="s">
        <v>371</v>
      </c>
      <c r="D373" s="14" t="s">
        <v>1402</v>
      </c>
      <c r="E373" s="15" t="s">
        <v>2189</v>
      </c>
      <c r="F373" s="16" t="s">
        <v>2944</v>
      </c>
      <c r="G373" s="16" t="s">
        <v>2945</v>
      </c>
    </row>
    <row r="374" spans="1:7" x14ac:dyDescent="0.25">
      <c r="A374" s="9" t="s">
        <v>2925</v>
      </c>
      <c r="B374" s="10" t="s">
        <v>1395</v>
      </c>
      <c r="C374" s="31" t="s">
        <v>372</v>
      </c>
      <c r="D374" s="10" t="s">
        <v>1403</v>
      </c>
      <c r="E374" s="11" t="s">
        <v>2189</v>
      </c>
      <c r="F374" s="12" t="s">
        <v>2946</v>
      </c>
      <c r="G374" s="12" t="s">
        <v>2947</v>
      </c>
    </row>
    <row r="375" spans="1:7" x14ac:dyDescent="0.25">
      <c r="A375" s="13" t="s">
        <v>2925</v>
      </c>
      <c r="B375" s="14" t="s">
        <v>1395</v>
      </c>
      <c r="C375" s="32" t="s">
        <v>2016</v>
      </c>
      <c r="D375" s="14" t="s">
        <v>1365</v>
      </c>
      <c r="E375" s="15" t="s">
        <v>2189</v>
      </c>
      <c r="F375" s="16" t="s">
        <v>2948</v>
      </c>
      <c r="G375" s="16" t="s">
        <v>2949</v>
      </c>
    </row>
    <row r="376" spans="1:7" x14ac:dyDescent="0.25">
      <c r="A376" s="9" t="s">
        <v>2925</v>
      </c>
      <c r="B376" s="10" t="s">
        <v>1395</v>
      </c>
      <c r="C376" s="31" t="s">
        <v>373</v>
      </c>
      <c r="D376" s="10" t="s">
        <v>1404</v>
      </c>
      <c r="E376" s="11" t="s">
        <v>2189</v>
      </c>
      <c r="F376" s="12" t="s">
        <v>2950</v>
      </c>
      <c r="G376" s="12" t="s">
        <v>2951</v>
      </c>
    </row>
    <row r="377" spans="1:7" x14ac:dyDescent="0.25">
      <c r="A377" s="13" t="s">
        <v>2925</v>
      </c>
      <c r="B377" s="14" t="s">
        <v>1395</v>
      </c>
      <c r="C377" s="32" t="s">
        <v>374</v>
      </c>
      <c r="D377" s="14" t="s">
        <v>2026</v>
      </c>
      <c r="E377" s="15" t="s">
        <v>2189</v>
      </c>
      <c r="F377" s="16" t="s">
        <v>2952</v>
      </c>
      <c r="G377" s="16" t="s">
        <v>2953</v>
      </c>
    </row>
    <row r="378" spans="1:7" x14ac:dyDescent="0.25">
      <c r="A378" s="9" t="s">
        <v>2925</v>
      </c>
      <c r="B378" s="10" t="s">
        <v>1395</v>
      </c>
      <c r="C378" s="31" t="s">
        <v>375</v>
      </c>
      <c r="D378" s="10" t="s">
        <v>1405</v>
      </c>
      <c r="E378" s="11" t="s">
        <v>2189</v>
      </c>
      <c r="F378" s="12" t="s">
        <v>2954</v>
      </c>
      <c r="G378" s="12" t="s">
        <v>2955</v>
      </c>
    </row>
    <row r="379" spans="1:7" x14ac:dyDescent="0.25">
      <c r="A379" s="13" t="s">
        <v>2925</v>
      </c>
      <c r="B379" s="14" t="s">
        <v>1395</v>
      </c>
      <c r="C379" s="32" t="s">
        <v>376</v>
      </c>
      <c r="D379" s="14" t="s">
        <v>1406</v>
      </c>
      <c r="E379" s="15" t="s">
        <v>2189</v>
      </c>
      <c r="F379" s="16" t="s">
        <v>2956</v>
      </c>
      <c r="G379" s="16" t="s">
        <v>2957</v>
      </c>
    </row>
    <row r="380" spans="1:7" x14ac:dyDescent="0.25">
      <c r="A380" s="9" t="s">
        <v>2925</v>
      </c>
      <c r="B380" s="10" t="s">
        <v>1395</v>
      </c>
      <c r="C380" s="31" t="s">
        <v>377</v>
      </c>
      <c r="D380" s="10" t="s">
        <v>1407</v>
      </c>
      <c r="E380" s="11" t="s">
        <v>2189</v>
      </c>
      <c r="F380" s="12" t="s">
        <v>2958</v>
      </c>
      <c r="G380" s="12" t="s">
        <v>2959</v>
      </c>
    </row>
    <row r="381" spans="1:7" x14ac:dyDescent="0.25">
      <c r="A381" s="13" t="s">
        <v>2925</v>
      </c>
      <c r="B381" s="14" t="s">
        <v>1395</v>
      </c>
      <c r="C381" s="32" t="s">
        <v>378</v>
      </c>
      <c r="D381" s="14" t="s">
        <v>1408</v>
      </c>
      <c r="E381" s="15" t="s">
        <v>2189</v>
      </c>
      <c r="F381" s="16" t="s">
        <v>2960</v>
      </c>
      <c r="G381" s="16" t="s">
        <v>2961</v>
      </c>
    </row>
    <row r="382" spans="1:7" ht="24" x14ac:dyDescent="0.25">
      <c r="A382" s="9" t="s">
        <v>2925</v>
      </c>
      <c r="B382" s="10" t="s">
        <v>1395</v>
      </c>
      <c r="C382" s="31" t="s">
        <v>379</v>
      </c>
      <c r="D382" s="10" t="s">
        <v>1409</v>
      </c>
      <c r="E382" s="11" t="s">
        <v>2189</v>
      </c>
      <c r="F382" s="12" t="s">
        <v>2962</v>
      </c>
      <c r="G382" s="12" t="s">
        <v>2963</v>
      </c>
    </row>
    <row r="383" spans="1:7" ht="24" x14ac:dyDescent="0.25">
      <c r="A383" s="13" t="s">
        <v>2925</v>
      </c>
      <c r="B383" s="14" t="s">
        <v>1395</v>
      </c>
      <c r="C383" s="32" t="s">
        <v>380</v>
      </c>
      <c r="D383" s="14" t="s">
        <v>1410</v>
      </c>
      <c r="E383" s="15" t="s">
        <v>2189</v>
      </c>
      <c r="F383" s="16" t="s">
        <v>2964</v>
      </c>
      <c r="G383" s="16" t="s">
        <v>2965</v>
      </c>
    </row>
    <row r="384" spans="1:7" x14ac:dyDescent="0.25">
      <c r="A384" s="9" t="s">
        <v>2925</v>
      </c>
      <c r="B384" s="10" t="s">
        <v>1395</v>
      </c>
      <c r="C384" s="31" t="s">
        <v>381</v>
      </c>
      <c r="D384" s="10" t="s">
        <v>1411</v>
      </c>
      <c r="E384" s="11" t="s">
        <v>2189</v>
      </c>
      <c r="F384" s="12" t="s">
        <v>2966</v>
      </c>
      <c r="G384" s="12" t="s">
        <v>2967</v>
      </c>
    </row>
    <row r="385" spans="1:7" x14ac:dyDescent="0.25">
      <c r="A385" s="13" t="s">
        <v>2925</v>
      </c>
      <c r="B385" s="14" t="s">
        <v>1395</v>
      </c>
      <c r="C385" s="32" t="s">
        <v>382</v>
      </c>
      <c r="D385" s="14" t="s">
        <v>1215</v>
      </c>
      <c r="E385" s="15" t="s">
        <v>2189</v>
      </c>
      <c r="F385" s="16" t="s">
        <v>2968</v>
      </c>
      <c r="G385" s="16" t="s">
        <v>2969</v>
      </c>
    </row>
    <row r="386" spans="1:7" x14ac:dyDescent="0.25">
      <c r="A386" s="9" t="s">
        <v>2925</v>
      </c>
      <c r="B386" s="10" t="s">
        <v>1395</v>
      </c>
      <c r="C386" s="31" t="s">
        <v>383</v>
      </c>
      <c r="D386" s="10" t="s">
        <v>1412</v>
      </c>
      <c r="E386" s="11" t="s">
        <v>2189</v>
      </c>
      <c r="F386" s="12" t="s">
        <v>2970</v>
      </c>
      <c r="G386" s="12" t="s">
        <v>2971</v>
      </c>
    </row>
    <row r="387" spans="1:7" x14ac:dyDescent="0.25">
      <c r="A387" s="13" t="s">
        <v>2925</v>
      </c>
      <c r="B387" s="14" t="s">
        <v>1395</v>
      </c>
      <c r="C387" s="32" t="s">
        <v>384</v>
      </c>
      <c r="D387" s="14" t="s">
        <v>1413</v>
      </c>
      <c r="E387" s="15" t="s">
        <v>2189</v>
      </c>
      <c r="F387" s="16" t="s">
        <v>2972</v>
      </c>
      <c r="G387" s="16" t="s">
        <v>2973</v>
      </c>
    </row>
    <row r="388" spans="1:7" x14ac:dyDescent="0.25">
      <c r="A388" s="9" t="s">
        <v>2925</v>
      </c>
      <c r="B388" s="10" t="s">
        <v>1395</v>
      </c>
      <c r="C388" s="31" t="s">
        <v>385</v>
      </c>
      <c r="D388" s="10" t="s">
        <v>1414</v>
      </c>
      <c r="E388" s="11" t="s">
        <v>2189</v>
      </c>
      <c r="F388" s="12" t="s">
        <v>2974</v>
      </c>
      <c r="G388" s="12" t="s">
        <v>2975</v>
      </c>
    </row>
    <row r="389" spans="1:7" x14ac:dyDescent="0.25">
      <c r="A389" s="13" t="s">
        <v>2925</v>
      </c>
      <c r="B389" s="14" t="s">
        <v>1395</v>
      </c>
      <c r="C389" s="32" t="s">
        <v>386</v>
      </c>
      <c r="D389" s="14" t="s">
        <v>1415</v>
      </c>
      <c r="E389" s="15" t="s">
        <v>2189</v>
      </c>
      <c r="F389" s="16" t="s">
        <v>2976</v>
      </c>
      <c r="G389" s="16" t="s">
        <v>2977</v>
      </c>
    </row>
    <row r="390" spans="1:7" ht="24" x14ac:dyDescent="0.25">
      <c r="A390" s="9" t="s">
        <v>2925</v>
      </c>
      <c r="B390" s="10" t="s">
        <v>1395</v>
      </c>
      <c r="C390" s="31" t="s">
        <v>2017</v>
      </c>
      <c r="D390" s="10" t="s">
        <v>2027</v>
      </c>
      <c r="E390" s="11" t="s">
        <v>2189</v>
      </c>
      <c r="F390" s="12" t="s">
        <v>2978</v>
      </c>
      <c r="G390" s="12" t="s">
        <v>2979</v>
      </c>
    </row>
    <row r="391" spans="1:7" ht="24" x14ac:dyDescent="0.25">
      <c r="A391" s="13" t="s">
        <v>2925</v>
      </c>
      <c r="B391" s="14" t="s">
        <v>1395</v>
      </c>
      <c r="C391" s="32" t="s">
        <v>387</v>
      </c>
      <c r="D391" s="14" t="s">
        <v>1416</v>
      </c>
      <c r="E391" s="15" t="s">
        <v>2189</v>
      </c>
      <c r="F391" s="16" t="s">
        <v>2980</v>
      </c>
      <c r="G391" s="16" t="s">
        <v>2981</v>
      </c>
    </row>
    <row r="392" spans="1:7" x14ac:dyDescent="0.25">
      <c r="A392" s="9" t="s">
        <v>2925</v>
      </c>
      <c r="B392" s="10" t="s">
        <v>1395</v>
      </c>
      <c r="C392" s="31" t="s">
        <v>388</v>
      </c>
      <c r="D392" s="10" t="s">
        <v>1417</v>
      </c>
      <c r="E392" s="11" t="s">
        <v>2189</v>
      </c>
      <c r="F392" s="12" t="s">
        <v>2982</v>
      </c>
      <c r="G392" s="12" t="s">
        <v>2983</v>
      </c>
    </row>
    <row r="393" spans="1:7" x14ac:dyDescent="0.25">
      <c r="A393" s="13" t="s">
        <v>2925</v>
      </c>
      <c r="B393" s="14" t="s">
        <v>1395</v>
      </c>
      <c r="C393" s="32" t="s">
        <v>389</v>
      </c>
      <c r="D393" s="14" t="s">
        <v>1418</v>
      </c>
      <c r="E393" s="15" t="s">
        <v>2189</v>
      </c>
      <c r="F393" s="16" t="s">
        <v>2984</v>
      </c>
      <c r="G393" s="16" t="s">
        <v>2985</v>
      </c>
    </row>
    <row r="394" spans="1:7" ht="24" x14ac:dyDescent="0.25">
      <c r="A394" s="9" t="s">
        <v>2925</v>
      </c>
      <c r="B394" s="10" t="s">
        <v>1395</v>
      </c>
      <c r="C394" s="31" t="s">
        <v>2115</v>
      </c>
      <c r="D394" s="10" t="s">
        <v>2184</v>
      </c>
      <c r="E394" s="11" t="s">
        <v>2189</v>
      </c>
      <c r="F394" s="12" t="s">
        <v>2986</v>
      </c>
      <c r="G394" s="12" t="s">
        <v>2987</v>
      </c>
    </row>
    <row r="395" spans="1:7" ht="36" x14ac:dyDescent="0.25">
      <c r="A395" s="13" t="s">
        <v>2925</v>
      </c>
      <c r="B395" s="14" t="s">
        <v>1395</v>
      </c>
      <c r="C395" s="32" t="s">
        <v>390</v>
      </c>
      <c r="D395" s="14" t="s">
        <v>1419</v>
      </c>
      <c r="E395" s="15" t="s">
        <v>2189</v>
      </c>
      <c r="F395" s="16" t="s">
        <v>2988</v>
      </c>
      <c r="G395" s="16" t="s">
        <v>2989</v>
      </c>
    </row>
    <row r="396" spans="1:7" ht="24" x14ac:dyDescent="0.25">
      <c r="A396" s="9" t="s">
        <v>2925</v>
      </c>
      <c r="B396" s="10" t="s">
        <v>1395</v>
      </c>
      <c r="C396" s="31" t="s">
        <v>391</v>
      </c>
      <c r="D396" s="10" t="s">
        <v>1229</v>
      </c>
      <c r="E396" s="11" t="s">
        <v>2189</v>
      </c>
      <c r="F396" s="12" t="s">
        <v>2990</v>
      </c>
      <c r="G396" s="12" t="s">
        <v>2991</v>
      </c>
    </row>
    <row r="397" spans="1:7" x14ac:dyDescent="0.25">
      <c r="A397" s="13" t="s">
        <v>2925</v>
      </c>
      <c r="B397" s="14" t="s">
        <v>1395</v>
      </c>
      <c r="C397" s="32" t="s">
        <v>392</v>
      </c>
      <c r="D397" s="14" t="s">
        <v>1420</v>
      </c>
      <c r="E397" s="15" t="s">
        <v>2189</v>
      </c>
      <c r="F397" s="16" t="s">
        <v>2992</v>
      </c>
      <c r="G397" s="16" t="s">
        <v>2993</v>
      </c>
    </row>
    <row r="398" spans="1:7" ht="24" x14ac:dyDescent="0.25">
      <c r="A398" s="9" t="s">
        <v>2925</v>
      </c>
      <c r="B398" s="10" t="s">
        <v>1395</v>
      </c>
      <c r="C398" s="31" t="s">
        <v>393</v>
      </c>
      <c r="D398" s="10" t="s">
        <v>2994</v>
      </c>
      <c r="E398" s="11" t="s">
        <v>2189</v>
      </c>
      <c r="F398" s="12" t="s">
        <v>2995</v>
      </c>
      <c r="G398" s="12" t="s">
        <v>2996</v>
      </c>
    </row>
    <row r="399" spans="1:7" x14ac:dyDescent="0.25">
      <c r="A399" s="13" t="s">
        <v>2925</v>
      </c>
      <c r="B399" s="14" t="s">
        <v>1395</v>
      </c>
      <c r="C399" s="32" t="s">
        <v>394</v>
      </c>
      <c r="D399" s="14" t="s">
        <v>1421</v>
      </c>
      <c r="E399" s="15" t="s">
        <v>2189</v>
      </c>
      <c r="F399" s="16" t="s">
        <v>2997</v>
      </c>
      <c r="G399" s="16" t="s">
        <v>2998</v>
      </c>
    </row>
    <row r="400" spans="1:7" x14ac:dyDescent="0.25">
      <c r="A400" s="9" t="s">
        <v>2925</v>
      </c>
      <c r="B400" s="10" t="s">
        <v>1395</v>
      </c>
      <c r="C400" s="31" t="s">
        <v>395</v>
      </c>
      <c r="D400" s="10" t="s">
        <v>1422</v>
      </c>
      <c r="E400" s="11" t="s">
        <v>2189</v>
      </c>
      <c r="F400" s="12" t="s">
        <v>2999</v>
      </c>
      <c r="G400" s="12" t="s">
        <v>3000</v>
      </c>
    </row>
    <row r="401" spans="1:7" x14ac:dyDescent="0.25">
      <c r="A401" s="13" t="s">
        <v>2925</v>
      </c>
      <c r="B401" s="14" t="s">
        <v>1395</v>
      </c>
      <c r="C401" s="32" t="s">
        <v>396</v>
      </c>
      <c r="D401" s="14" t="s">
        <v>1423</v>
      </c>
      <c r="E401" s="15" t="s">
        <v>2189</v>
      </c>
      <c r="F401" s="16" t="s">
        <v>3001</v>
      </c>
      <c r="G401" s="16" t="s">
        <v>3002</v>
      </c>
    </row>
    <row r="402" spans="1:7" x14ac:dyDescent="0.25">
      <c r="A402" s="9" t="s">
        <v>2925</v>
      </c>
      <c r="B402" s="10" t="s">
        <v>1395</v>
      </c>
      <c r="C402" s="31" t="s">
        <v>397</v>
      </c>
      <c r="D402" s="10" t="s">
        <v>1424</v>
      </c>
      <c r="E402" s="11" t="s">
        <v>2189</v>
      </c>
      <c r="F402" s="12" t="s">
        <v>3003</v>
      </c>
      <c r="G402" s="12" t="s">
        <v>3004</v>
      </c>
    </row>
    <row r="403" spans="1:7" x14ac:dyDescent="0.25">
      <c r="A403" s="13" t="s">
        <v>2925</v>
      </c>
      <c r="B403" s="14" t="s">
        <v>1395</v>
      </c>
      <c r="C403" s="32" t="s">
        <v>398</v>
      </c>
      <c r="D403" s="14" t="s">
        <v>1425</v>
      </c>
      <c r="E403" s="15" t="s">
        <v>2189</v>
      </c>
      <c r="F403" s="16" t="s">
        <v>3005</v>
      </c>
      <c r="G403" s="16" t="s">
        <v>3006</v>
      </c>
    </row>
    <row r="404" spans="1:7" x14ac:dyDescent="0.25">
      <c r="A404" s="9" t="s">
        <v>2925</v>
      </c>
      <c r="B404" s="10" t="s">
        <v>1395</v>
      </c>
      <c r="C404" s="31" t="s">
        <v>399</v>
      </c>
      <c r="D404" s="10" t="s">
        <v>1426</v>
      </c>
      <c r="E404" s="11" t="s">
        <v>2189</v>
      </c>
      <c r="F404" s="12" t="s">
        <v>3007</v>
      </c>
      <c r="G404" s="12" t="s">
        <v>3008</v>
      </c>
    </row>
    <row r="405" spans="1:7" x14ac:dyDescent="0.25">
      <c r="A405" s="13" t="s">
        <v>2925</v>
      </c>
      <c r="B405" s="14" t="s">
        <v>1395</v>
      </c>
      <c r="C405" s="32" t="s">
        <v>400</v>
      </c>
      <c r="D405" s="14" t="s">
        <v>1427</v>
      </c>
      <c r="E405" s="15" t="s">
        <v>2189</v>
      </c>
      <c r="F405" s="16" t="s">
        <v>3009</v>
      </c>
      <c r="G405" s="16" t="s">
        <v>3010</v>
      </c>
    </row>
    <row r="406" spans="1:7" ht="24" x14ac:dyDescent="0.25">
      <c r="A406" s="9" t="s">
        <v>3011</v>
      </c>
      <c r="B406" s="10" t="s">
        <v>1428</v>
      </c>
      <c r="C406" s="31" t="s">
        <v>401</v>
      </c>
      <c r="D406" s="10" t="s">
        <v>1429</v>
      </c>
      <c r="E406" s="11" t="s">
        <v>2189</v>
      </c>
      <c r="F406" s="12" t="s">
        <v>3012</v>
      </c>
      <c r="G406" s="12" t="s">
        <v>3013</v>
      </c>
    </row>
    <row r="407" spans="1:7" x14ac:dyDescent="0.25">
      <c r="A407" s="13" t="s">
        <v>3011</v>
      </c>
      <c r="B407" s="14" t="s">
        <v>1428</v>
      </c>
      <c r="C407" s="32" t="s">
        <v>402</v>
      </c>
      <c r="D407" s="14" t="s">
        <v>1430</v>
      </c>
      <c r="E407" s="15" t="s">
        <v>2189</v>
      </c>
      <c r="F407" s="16" t="s">
        <v>3014</v>
      </c>
      <c r="G407" s="16" t="s">
        <v>3015</v>
      </c>
    </row>
    <row r="408" spans="1:7" ht="24" x14ac:dyDescent="0.25">
      <c r="A408" s="9" t="s">
        <v>3011</v>
      </c>
      <c r="B408" s="10" t="s">
        <v>1428</v>
      </c>
      <c r="C408" s="31" t="s">
        <v>403</v>
      </c>
      <c r="D408" s="10" t="s">
        <v>1431</v>
      </c>
      <c r="E408" s="11" t="s">
        <v>2189</v>
      </c>
      <c r="F408" s="12" t="s">
        <v>3016</v>
      </c>
      <c r="G408" s="12" t="s">
        <v>3017</v>
      </c>
    </row>
    <row r="409" spans="1:7" x14ac:dyDescent="0.25">
      <c r="A409" s="13" t="s">
        <v>3011</v>
      </c>
      <c r="B409" s="14" t="s">
        <v>1428</v>
      </c>
      <c r="C409" s="32" t="s">
        <v>404</v>
      </c>
      <c r="D409" s="14" t="s">
        <v>1432</v>
      </c>
      <c r="E409" s="15" t="s">
        <v>2189</v>
      </c>
      <c r="F409" s="16" t="s">
        <v>3018</v>
      </c>
      <c r="G409" s="16" t="s">
        <v>3019</v>
      </c>
    </row>
    <row r="410" spans="1:7" x14ac:dyDescent="0.25">
      <c r="A410" s="9" t="s">
        <v>3011</v>
      </c>
      <c r="B410" s="10" t="s">
        <v>1428</v>
      </c>
      <c r="C410" s="31" t="s">
        <v>405</v>
      </c>
      <c r="D410" s="10" t="s">
        <v>1433</v>
      </c>
      <c r="E410" s="11" t="s">
        <v>2189</v>
      </c>
      <c r="F410" s="12" t="s">
        <v>3020</v>
      </c>
      <c r="G410" s="12" t="s">
        <v>3021</v>
      </c>
    </row>
    <row r="411" spans="1:7" x14ac:dyDescent="0.25">
      <c r="A411" s="13" t="s">
        <v>3011</v>
      </c>
      <c r="B411" s="14" t="s">
        <v>1428</v>
      </c>
      <c r="C411" s="32" t="s">
        <v>406</v>
      </c>
      <c r="D411" s="14" t="s">
        <v>1434</v>
      </c>
      <c r="E411" s="15" t="s">
        <v>2189</v>
      </c>
      <c r="F411" s="16" t="s">
        <v>3022</v>
      </c>
      <c r="G411" s="16" t="s">
        <v>3023</v>
      </c>
    </row>
    <row r="412" spans="1:7" ht="24" x14ac:dyDescent="0.25">
      <c r="A412" s="9" t="s">
        <v>3011</v>
      </c>
      <c r="B412" s="10" t="s">
        <v>1428</v>
      </c>
      <c r="C412" s="31" t="s">
        <v>407</v>
      </c>
      <c r="D412" s="10" t="s">
        <v>1435</v>
      </c>
      <c r="E412" s="11" t="s">
        <v>2189</v>
      </c>
      <c r="F412" s="12" t="s">
        <v>3024</v>
      </c>
      <c r="G412" s="12" t="s">
        <v>3025</v>
      </c>
    </row>
    <row r="413" spans="1:7" ht="24" x14ac:dyDescent="0.25">
      <c r="A413" s="13" t="s">
        <v>3011</v>
      </c>
      <c r="B413" s="14" t="s">
        <v>1428</v>
      </c>
      <c r="C413" s="32" t="s">
        <v>408</v>
      </c>
      <c r="D413" s="14" t="s">
        <v>1436</v>
      </c>
      <c r="E413" s="15" t="s">
        <v>2189</v>
      </c>
      <c r="F413" s="16" t="s">
        <v>3026</v>
      </c>
      <c r="G413" s="16" t="s">
        <v>3027</v>
      </c>
    </row>
    <row r="414" spans="1:7" x14ac:dyDescent="0.25">
      <c r="A414" s="9" t="s">
        <v>3011</v>
      </c>
      <c r="B414" s="10" t="s">
        <v>1428</v>
      </c>
      <c r="C414" s="31" t="s">
        <v>409</v>
      </c>
      <c r="D414" s="10" t="s">
        <v>1437</v>
      </c>
      <c r="E414" s="11" t="s">
        <v>2189</v>
      </c>
      <c r="F414" s="12" t="s">
        <v>3028</v>
      </c>
      <c r="G414" s="12" t="s">
        <v>3029</v>
      </c>
    </row>
    <row r="415" spans="1:7" x14ac:dyDescent="0.25">
      <c r="A415" s="13" t="s">
        <v>3011</v>
      </c>
      <c r="B415" s="14" t="s">
        <v>1428</v>
      </c>
      <c r="C415" s="32" t="s">
        <v>410</v>
      </c>
      <c r="D415" s="14" t="s">
        <v>1438</v>
      </c>
      <c r="E415" s="15" t="s">
        <v>2189</v>
      </c>
      <c r="F415" s="16" t="s">
        <v>3030</v>
      </c>
      <c r="G415" s="16" t="s">
        <v>3031</v>
      </c>
    </row>
    <row r="416" spans="1:7" x14ac:dyDescent="0.25">
      <c r="A416" s="9" t="s">
        <v>3011</v>
      </c>
      <c r="B416" s="10" t="s">
        <v>1428</v>
      </c>
      <c r="C416" s="31" t="s">
        <v>411</v>
      </c>
      <c r="D416" s="10" t="s">
        <v>1439</v>
      </c>
      <c r="E416" s="11" t="s">
        <v>2189</v>
      </c>
      <c r="F416" s="12" t="s">
        <v>3032</v>
      </c>
      <c r="G416" s="12" t="s">
        <v>3033</v>
      </c>
    </row>
    <row r="417" spans="1:7" x14ac:dyDescent="0.25">
      <c r="A417" s="13" t="s">
        <v>3011</v>
      </c>
      <c r="B417" s="14" t="s">
        <v>1428</v>
      </c>
      <c r="C417" s="32" t="s">
        <v>412</v>
      </c>
      <c r="D417" s="14" t="s">
        <v>1440</v>
      </c>
      <c r="E417" s="15" t="s">
        <v>2189</v>
      </c>
      <c r="F417" s="16" t="s">
        <v>3034</v>
      </c>
      <c r="G417" s="16" t="s">
        <v>3035</v>
      </c>
    </row>
    <row r="418" spans="1:7" x14ac:dyDescent="0.25">
      <c r="A418" s="9" t="s">
        <v>3011</v>
      </c>
      <c r="B418" s="10" t="s">
        <v>1428</v>
      </c>
      <c r="C418" s="31" t="s">
        <v>413</v>
      </c>
      <c r="D418" s="10" t="s">
        <v>1441</v>
      </c>
      <c r="E418" s="11" t="s">
        <v>2189</v>
      </c>
      <c r="F418" s="12" t="s">
        <v>3036</v>
      </c>
      <c r="G418" s="12" t="s">
        <v>3037</v>
      </c>
    </row>
    <row r="419" spans="1:7" x14ac:dyDescent="0.25">
      <c r="A419" s="13" t="s">
        <v>3011</v>
      </c>
      <c r="B419" s="14" t="s">
        <v>1428</v>
      </c>
      <c r="C419" s="32" t="s">
        <v>414</v>
      </c>
      <c r="D419" s="14" t="s">
        <v>1442</v>
      </c>
      <c r="E419" s="15" t="s">
        <v>2189</v>
      </c>
      <c r="F419" s="16" t="s">
        <v>3038</v>
      </c>
      <c r="G419" s="16" t="s">
        <v>3039</v>
      </c>
    </row>
    <row r="420" spans="1:7" ht="24" x14ac:dyDescent="0.25">
      <c r="A420" s="9" t="s">
        <v>3011</v>
      </c>
      <c r="B420" s="10" t="s">
        <v>1428</v>
      </c>
      <c r="C420" s="31" t="s">
        <v>415</v>
      </c>
      <c r="D420" s="10" t="s">
        <v>1443</v>
      </c>
      <c r="E420" s="11" t="s">
        <v>2189</v>
      </c>
      <c r="F420" s="12" t="s">
        <v>3040</v>
      </c>
      <c r="G420" s="12" t="s">
        <v>3041</v>
      </c>
    </row>
    <row r="421" spans="1:7" ht="36" x14ac:dyDescent="0.25">
      <c r="A421" s="13" t="s">
        <v>3011</v>
      </c>
      <c r="B421" s="14" t="s">
        <v>1428</v>
      </c>
      <c r="C421" s="32" t="s">
        <v>416</v>
      </c>
      <c r="D421" s="14" t="s">
        <v>1444</v>
      </c>
      <c r="E421" s="15" t="s">
        <v>2189</v>
      </c>
      <c r="F421" s="16" t="s">
        <v>3042</v>
      </c>
      <c r="G421" s="16" t="s">
        <v>3043</v>
      </c>
    </row>
    <row r="422" spans="1:7" x14ac:dyDescent="0.25">
      <c r="A422" s="9" t="s">
        <v>3011</v>
      </c>
      <c r="B422" s="10" t="s">
        <v>1428</v>
      </c>
      <c r="C422" s="31" t="s">
        <v>417</v>
      </c>
      <c r="D422" s="10" t="s">
        <v>1445</v>
      </c>
      <c r="E422" s="11" t="s">
        <v>2189</v>
      </c>
      <c r="F422" s="12" t="s">
        <v>3044</v>
      </c>
      <c r="G422" s="12" t="s">
        <v>3045</v>
      </c>
    </row>
    <row r="423" spans="1:7" x14ac:dyDescent="0.25">
      <c r="A423" s="13" t="s">
        <v>3011</v>
      </c>
      <c r="B423" s="14" t="s">
        <v>1428</v>
      </c>
      <c r="C423" s="32" t="s">
        <v>418</v>
      </c>
      <c r="D423" s="14" t="s">
        <v>1446</v>
      </c>
      <c r="E423" s="15" t="s">
        <v>2189</v>
      </c>
      <c r="F423" s="16" t="s">
        <v>3046</v>
      </c>
      <c r="G423" s="16" t="s">
        <v>3047</v>
      </c>
    </row>
    <row r="424" spans="1:7" ht="24" x14ac:dyDescent="0.25">
      <c r="A424" s="9" t="s">
        <v>3011</v>
      </c>
      <c r="B424" s="10" t="s">
        <v>1428</v>
      </c>
      <c r="C424" s="31" t="s">
        <v>419</v>
      </c>
      <c r="D424" s="10" t="s">
        <v>1447</v>
      </c>
      <c r="E424" s="11" t="s">
        <v>2189</v>
      </c>
      <c r="F424" s="12" t="s">
        <v>3048</v>
      </c>
      <c r="G424" s="12" t="s">
        <v>3049</v>
      </c>
    </row>
    <row r="425" spans="1:7" x14ac:dyDescent="0.25">
      <c r="A425" s="13" t="s">
        <v>3011</v>
      </c>
      <c r="B425" s="14" t="s">
        <v>1428</v>
      </c>
      <c r="C425" s="32" t="s">
        <v>420</v>
      </c>
      <c r="D425" s="14" t="s">
        <v>1448</v>
      </c>
      <c r="E425" s="15" t="s">
        <v>2189</v>
      </c>
      <c r="F425" s="16" t="s">
        <v>3050</v>
      </c>
      <c r="G425" s="16" t="s">
        <v>3051</v>
      </c>
    </row>
    <row r="426" spans="1:7" x14ac:dyDescent="0.25">
      <c r="A426" s="9" t="s">
        <v>3011</v>
      </c>
      <c r="B426" s="10" t="s">
        <v>1428</v>
      </c>
      <c r="C426" s="31" t="s">
        <v>421</v>
      </c>
      <c r="D426" s="10" t="s">
        <v>1449</v>
      </c>
      <c r="E426" s="11" t="s">
        <v>2189</v>
      </c>
      <c r="F426" s="12" t="s">
        <v>3052</v>
      </c>
      <c r="G426" s="12" t="s">
        <v>3053</v>
      </c>
    </row>
    <row r="427" spans="1:7" ht="24" x14ac:dyDescent="0.25">
      <c r="A427" s="13" t="s">
        <v>3011</v>
      </c>
      <c r="B427" s="14" t="s">
        <v>1428</v>
      </c>
      <c r="C427" s="32" t="s">
        <v>422</v>
      </c>
      <c r="D427" s="14" t="s">
        <v>1450</v>
      </c>
      <c r="E427" s="15" t="s">
        <v>2189</v>
      </c>
      <c r="F427" s="16" t="s">
        <v>3054</v>
      </c>
      <c r="G427" s="16" t="s">
        <v>3055</v>
      </c>
    </row>
    <row r="428" spans="1:7" x14ac:dyDescent="0.25">
      <c r="A428" s="9" t="s">
        <v>3011</v>
      </c>
      <c r="B428" s="10" t="s">
        <v>1428</v>
      </c>
      <c r="C428" s="31" t="s">
        <v>423</v>
      </c>
      <c r="D428" s="10" t="s">
        <v>1451</v>
      </c>
      <c r="E428" s="11" t="s">
        <v>2189</v>
      </c>
      <c r="F428" s="12" t="s">
        <v>3056</v>
      </c>
      <c r="G428" s="12" t="s">
        <v>3057</v>
      </c>
    </row>
    <row r="429" spans="1:7" x14ac:dyDescent="0.25">
      <c r="A429" s="13" t="s">
        <v>3011</v>
      </c>
      <c r="B429" s="14" t="s">
        <v>1428</v>
      </c>
      <c r="C429" s="32" t="s">
        <v>424</v>
      </c>
      <c r="D429" s="14" t="s">
        <v>1452</v>
      </c>
      <c r="E429" s="15" t="s">
        <v>2189</v>
      </c>
      <c r="F429" s="16" t="s">
        <v>3058</v>
      </c>
      <c r="G429" s="16" t="s">
        <v>3059</v>
      </c>
    </row>
    <row r="430" spans="1:7" ht="24" x14ac:dyDescent="0.25">
      <c r="A430" s="9" t="s">
        <v>3011</v>
      </c>
      <c r="B430" s="10" t="s">
        <v>1428</v>
      </c>
      <c r="C430" s="31" t="s">
        <v>425</v>
      </c>
      <c r="D430" s="10" t="s">
        <v>1453</v>
      </c>
      <c r="E430" s="11" t="s">
        <v>2189</v>
      </c>
      <c r="F430" s="12" t="s">
        <v>3060</v>
      </c>
      <c r="G430" s="12" t="s">
        <v>3061</v>
      </c>
    </row>
    <row r="431" spans="1:7" x14ac:dyDescent="0.25">
      <c r="A431" s="13" t="s">
        <v>3062</v>
      </c>
      <c r="B431" s="14" t="s">
        <v>1204</v>
      </c>
      <c r="C431" s="32" t="s">
        <v>452</v>
      </c>
      <c r="D431" s="14" t="s">
        <v>1478</v>
      </c>
      <c r="E431" s="15" t="s">
        <v>2189</v>
      </c>
      <c r="F431" s="16" t="s">
        <v>3063</v>
      </c>
      <c r="G431" s="16" t="s">
        <v>3064</v>
      </c>
    </row>
    <row r="432" spans="1:7" x14ac:dyDescent="0.25">
      <c r="A432" s="9" t="s">
        <v>3062</v>
      </c>
      <c r="B432" s="10" t="s">
        <v>1204</v>
      </c>
      <c r="C432" s="31" t="s">
        <v>453</v>
      </c>
      <c r="D432" s="10" t="s">
        <v>1479</v>
      </c>
      <c r="E432" s="11" t="s">
        <v>2189</v>
      </c>
      <c r="F432" s="12" t="s">
        <v>3065</v>
      </c>
      <c r="G432" s="12" t="s">
        <v>3066</v>
      </c>
    </row>
    <row r="433" spans="1:7" x14ac:dyDescent="0.25">
      <c r="A433" s="13" t="s">
        <v>3062</v>
      </c>
      <c r="B433" s="14" t="s">
        <v>1204</v>
      </c>
      <c r="C433" s="32" t="s">
        <v>454</v>
      </c>
      <c r="D433" s="14" t="s">
        <v>1244</v>
      </c>
      <c r="E433" s="15" t="s">
        <v>2189</v>
      </c>
      <c r="F433" s="16" t="s">
        <v>3067</v>
      </c>
      <c r="G433" s="16" t="s">
        <v>3068</v>
      </c>
    </row>
    <row r="434" spans="1:7" x14ac:dyDescent="0.25">
      <c r="A434" s="9" t="s">
        <v>3062</v>
      </c>
      <c r="B434" s="10" t="s">
        <v>1204</v>
      </c>
      <c r="C434" s="31" t="s">
        <v>455</v>
      </c>
      <c r="D434" s="10" t="s">
        <v>1480</v>
      </c>
      <c r="E434" s="11" t="s">
        <v>2189</v>
      </c>
      <c r="F434" s="12" t="s">
        <v>3069</v>
      </c>
      <c r="G434" s="12" t="s">
        <v>3070</v>
      </c>
    </row>
    <row r="435" spans="1:7" x14ac:dyDescent="0.25">
      <c r="A435" s="13" t="s">
        <v>3062</v>
      </c>
      <c r="B435" s="14" t="s">
        <v>1204</v>
      </c>
      <c r="C435" s="32" t="s">
        <v>456</v>
      </c>
      <c r="D435" s="14" t="s">
        <v>1481</v>
      </c>
      <c r="E435" s="15" t="s">
        <v>2189</v>
      </c>
      <c r="F435" s="16" t="s">
        <v>3071</v>
      </c>
      <c r="G435" s="16" t="s">
        <v>3072</v>
      </c>
    </row>
    <row r="436" spans="1:7" x14ac:dyDescent="0.25">
      <c r="A436" s="9" t="s">
        <v>3062</v>
      </c>
      <c r="B436" s="10" t="s">
        <v>1204</v>
      </c>
      <c r="C436" s="31" t="s">
        <v>457</v>
      </c>
      <c r="D436" s="10" t="s">
        <v>1482</v>
      </c>
      <c r="E436" s="11" t="s">
        <v>2189</v>
      </c>
      <c r="F436" s="12" t="s">
        <v>3073</v>
      </c>
      <c r="G436" s="12" t="s">
        <v>3074</v>
      </c>
    </row>
    <row r="437" spans="1:7" x14ac:dyDescent="0.25">
      <c r="A437" s="13" t="s">
        <v>3062</v>
      </c>
      <c r="B437" s="14" t="s">
        <v>1204</v>
      </c>
      <c r="C437" s="32" t="s">
        <v>458</v>
      </c>
      <c r="D437" s="14" t="s">
        <v>1483</v>
      </c>
      <c r="E437" s="15" t="s">
        <v>2189</v>
      </c>
      <c r="F437" s="16" t="s">
        <v>3075</v>
      </c>
      <c r="G437" s="16" t="s">
        <v>3076</v>
      </c>
    </row>
    <row r="438" spans="1:7" ht="24" x14ac:dyDescent="0.25">
      <c r="A438" s="9" t="s">
        <v>3062</v>
      </c>
      <c r="B438" s="10" t="s">
        <v>1204</v>
      </c>
      <c r="C438" s="31" t="s">
        <v>459</v>
      </c>
      <c r="D438" s="10" t="s">
        <v>1484</v>
      </c>
      <c r="E438" s="11" t="s">
        <v>2189</v>
      </c>
      <c r="F438" s="12" t="s">
        <v>3077</v>
      </c>
      <c r="G438" s="12" t="s">
        <v>3078</v>
      </c>
    </row>
    <row r="439" spans="1:7" x14ac:dyDescent="0.25">
      <c r="A439" s="13" t="s">
        <v>3062</v>
      </c>
      <c r="B439" s="14" t="s">
        <v>1204</v>
      </c>
      <c r="C439" s="32" t="s">
        <v>460</v>
      </c>
      <c r="D439" s="14" t="s">
        <v>1485</v>
      </c>
      <c r="E439" s="15" t="s">
        <v>2189</v>
      </c>
      <c r="F439" s="16" t="s">
        <v>3079</v>
      </c>
      <c r="G439" s="16" t="s">
        <v>3080</v>
      </c>
    </row>
    <row r="440" spans="1:7" ht="24" x14ac:dyDescent="0.25">
      <c r="A440" s="9" t="s">
        <v>3062</v>
      </c>
      <c r="B440" s="10" t="s">
        <v>1204</v>
      </c>
      <c r="C440" s="31" t="s">
        <v>461</v>
      </c>
      <c r="D440" s="10" t="s">
        <v>1486</v>
      </c>
      <c r="E440" s="11" t="s">
        <v>2189</v>
      </c>
      <c r="F440" s="12" t="s">
        <v>3081</v>
      </c>
      <c r="G440" s="12" t="s">
        <v>3082</v>
      </c>
    </row>
    <row r="441" spans="1:7" x14ac:dyDescent="0.25">
      <c r="A441" s="13" t="s">
        <v>3062</v>
      </c>
      <c r="B441" s="14" t="s">
        <v>1204</v>
      </c>
      <c r="C441" s="32" t="s">
        <v>462</v>
      </c>
      <c r="D441" s="14" t="s">
        <v>1487</v>
      </c>
      <c r="E441" s="15" t="s">
        <v>2189</v>
      </c>
      <c r="F441" s="16" t="s">
        <v>3083</v>
      </c>
      <c r="G441" s="16" t="s">
        <v>3084</v>
      </c>
    </row>
    <row r="442" spans="1:7" ht="24" x14ac:dyDescent="0.25">
      <c r="A442" s="9" t="s">
        <v>3062</v>
      </c>
      <c r="B442" s="10" t="s">
        <v>1204</v>
      </c>
      <c r="C442" s="31" t="s">
        <v>463</v>
      </c>
      <c r="D442" s="10" t="s">
        <v>1488</v>
      </c>
      <c r="E442" s="11" t="s">
        <v>2189</v>
      </c>
      <c r="F442" s="12" t="s">
        <v>3085</v>
      </c>
      <c r="G442" s="12" t="s">
        <v>3086</v>
      </c>
    </row>
    <row r="443" spans="1:7" x14ac:dyDescent="0.25">
      <c r="A443" s="13" t="s">
        <v>3062</v>
      </c>
      <c r="B443" s="14" t="s">
        <v>1204</v>
      </c>
      <c r="C443" s="32" t="s">
        <v>464</v>
      </c>
      <c r="D443" s="14" t="s">
        <v>1489</v>
      </c>
      <c r="E443" s="15" t="s">
        <v>2189</v>
      </c>
      <c r="F443" s="16" t="s">
        <v>3087</v>
      </c>
      <c r="G443" s="16" t="s">
        <v>3088</v>
      </c>
    </row>
    <row r="444" spans="1:7" ht="24" x14ac:dyDescent="0.25">
      <c r="A444" s="9" t="s">
        <v>3062</v>
      </c>
      <c r="B444" s="10" t="s">
        <v>1204</v>
      </c>
      <c r="C444" s="31" t="s">
        <v>465</v>
      </c>
      <c r="D444" s="10" t="s">
        <v>1490</v>
      </c>
      <c r="E444" s="11" t="s">
        <v>2189</v>
      </c>
      <c r="F444" s="12" t="s">
        <v>3089</v>
      </c>
      <c r="G444" s="12" t="s">
        <v>3090</v>
      </c>
    </row>
    <row r="445" spans="1:7" x14ac:dyDescent="0.25">
      <c r="A445" s="13" t="s">
        <v>3062</v>
      </c>
      <c r="B445" s="14" t="s">
        <v>1204</v>
      </c>
      <c r="C445" s="32" t="s">
        <v>466</v>
      </c>
      <c r="D445" s="14" t="s">
        <v>1491</v>
      </c>
      <c r="E445" s="15" t="s">
        <v>2189</v>
      </c>
      <c r="F445" s="16" t="s">
        <v>3091</v>
      </c>
      <c r="G445" s="16" t="s">
        <v>3092</v>
      </c>
    </row>
    <row r="446" spans="1:7" ht="24" x14ac:dyDescent="0.25">
      <c r="A446" s="9" t="s">
        <v>3062</v>
      </c>
      <c r="B446" s="10" t="s">
        <v>1204</v>
      </c>
      <c r="C446" s="31" t="s">
        <v>467</v>
      </c>
      <c r="D446" s="10" t="s">
        <v>1492</v>
      </c>
      <c r="E446" s="11" t="s">
        <v>2189</v>
      </c>
      <c r="F446" s="12" t="s">
        <v>3093</v>
      </c>
      <c r="G446" s="12" t="s">
        <v>3094</v>
      </c>
    </row>
    <row r="447" spans="1:7" ht="24" x14ac:dyDescent="0.25">
      <c r="A447" s="13" t="s">
        <v>3062</v>
      </c>
      <c r="B447" s="14" t="s">
        <v>1204</v>
      </c>
      <c r="C447" s="32" t="s">
        <v>468</v>
      </c>
      <c r="D447" s="14" t="s">
        <v>1493</v>
      </c>
      <c r="E447" s="15" t="s">
        <v>2189</v>
      </c>
      <c r="F447" s="16" t="s">
        <v>3095</v>
      </c>
      <c r="G447" s="16" t="s">
        <v>3096</v>
      </c>
    </row>
    <row r="448" spans="1:7" ht="24" x14ac:dyDescent="0.25">
      <c r="A448" s="9" t="s">
        <v>3062</v>
      </c>
      <c r="B448" s="10" t="s">
        <v>1204</v>
      </c>
      <c r="C448" s="31" t="s">
        <v>469</v>
      </c>
      <c r="D448" s="10" t="s">
        <v>1494</v>
      </c>
      <c r="E448" s="11" t="s">
        <v>2189</v>
      </c>
      <c r="F448" s="12" t="s">
        <v>3097</v>
      </c>
      <c r="G448" s="12" t="s">
        <v>3098</v>
      </c>
    </row>
    <row r="449" spans="1:7" ht="36" x14ac:dyDescent="0.25">
      <c r="A449" s="13" t="s">
        <v>3062</v>
      </c>
      <c r="B449" s="14" t="s">
        <v>1204</v>
      </c>
      <c r="C449" s="32" t="s">
        <v>470</v>
      </c>
      <c r="D449" s="14" t="s">
        <v>1495</v>
      </c>
      <c r="E449" s="15" t="s">
        <v>2189</v>
      </c>
      <c r="F449" s="16" t="s">
        <v>3099</v>
      </c>
      <c r="G449" s="16" t="s">
        <v>3100</v>
      </c>
    </row>
    <row r="450" spans="1:7" ht="48" x14ac:dyDescent="0.25">
      <c r="A450" s="9" t="s">
        <v>3062</v>
      </c>
      <c r="B450" s="10" t="s">
        <v>1204</v>
      </c>
      <c r="C450" s="31" t="s">
        <v>471</v>
      </c>
      <c r="D450" s="10" t="s">
        <v>1496</v>
      </c>
      <c r="E450" s="11" t="s">
        <v>2189</v>
      </c>
      <c r="F450" s="12" t="s">
        <v>3101</v>
      </c>
      <c r="G450" s="12" t="s">
        <v>3102</v>
      </c>
    </row>
    <row r="451" spans="1:7" x14ac:dyDescent="0.25">
      <c r="A451" s="13" t="s">
        <v>3062</v>
      </c>
      <c r="B451" s="14" t="s">
        <v>1204</v>
      </c>
      <c r="C451" s="32" t="s">
        <v>472</v>
      </c>
      <c r="D451" s="14" t="s">
        <v>1497</v>
      </c>
      <c r="E451" s="15" t="s">
        <v>2189</v>
      </c>
      <c r="F451" s="16" t="s">
        <v>3103</v>
      </c>
      <c r="G451" s="16" t="s">
        <v>3104</v>
      </c>
    </row>
    <row r="452" spans="1:7" ht="36" x14ac:dyDescent="0.25">
      <c r="A452" s="9" t="s">
        <v>3062</v>
      </c>
      <c r="B452" s="10" t="s">
        <v>1204</v>
      </c>
      <c r="C452" s="31" t="s">
        <v>473</v>
      </c>
      <c r="D452" s="10" t="s">
        <v>1498</v>
      </c>
      <c r="E452" s="11" t="s">
        <v>2189</v>
      </c>
      <c r="F452" s="12" t="s">
        <v>3105</v>
      </c>
      <c r="G452" s="12" t="s">
        <v>3106</v>
      </c>
    </row>
    <row r="453" spans="1:7" ht="24" x14ac:dyDescent="0.25">
      <c r="A453" s="13" t="s">
        <v>3062</v>
      </c>
      <c r="B453" s="14" t="s">
        <v>1204</v>
      </c>
      <c r="C453" s="32" t="s">
        <v>474</v>
      </c>
      <c r="D453" s="14" t="s">
        <v>1499</v>
      </c>
      <c r="E453" s="15" t="s">
        <v>2189</v>
      </c>
      <c r="F453" s="16" t="s">
        <v>3107</v>
      </c>
      <c r="G453" s="16" t="s">
        <v>3108</v>
      </c>
    </row>
    <row r="454" spans="1:7" ht="36" x14ac:dyDescent="0.25">
      <c r="A454" s="9" t="s">
        <v>3062</v>
      </c>
      <c r="B454" s="10" t="s">
        <v>1204</v>
      </c>
      <c r="C454" s="31" t="s">
        <v>475</v>
      </c>
      <c r="D454" s="10" t="s">
        <v>1500</v>
      </c>
      <c r="E454" s="11" t="s">
        <v>2189</v>
      </c>
      <c r="F454" s="12" t="s">
        <v>3109</v>
      </c>
      <c r="G454" s="12" t="s">
        <v>3110</v>
      </c>
    </row>
    <row r="455" spans="1:7" ht="24" x14ac:dyDescent="0.25">
      <c r="A455" s="13" t="s">
        <v>3062</v>
      </c>
      <c r="B455" s="14" t="s">
        <v>1204</v>
      </c>
      <c r="C455" s="32" t="s">
        <v>476</v>
      </c>
      <c r="D455" s="14" t="s">
        <v>1130</v>
      </c>
      <c r="E455" s="15" t="s">
        <v>2189</v>
      </c>
      <c r="F455" s="16" t="s">
        <v>3111</v>
      </c>
      <c r="G455" s="16" t="s">
        <v>3112</v>
      </c>
    </row>
    <row r="456" spans="1:7" ht="24" x14ac:dyDescent="0.25">
      <c r="A456" s="9" t="s">
        <v>3062</v>
      </c>
      <c r="B456" s="10" t="s">
        <v>1204</v>
      </c>
      <c r="C456" s="31" t="s">
        <v>477</v>
      </c>
      <c r="D456" s="10" t="s">
        <v>1501</v>
      </c>
      <c r="E456" s="11" t="s">
        <v>2189</v>
      </c>
      <c r="F456" s="12" t="s">
        <v>3113</v>
      </c>
      <c r="G456" s="12" t="s">
        <v>3114</v>
      </c>
    </row>
    <row r="457" spans="1:7" x14ac:dyDescent="0.25">
      <c r="A457" s="13" t="s">
        <v>3062</v>
      </c>
      <c r="B457" s="14" t="s">
        <v>1204</v>
      </c>
      <c r="C457" s="32" t="s">
        <v>478</v>
      </c>
      <c r="D457" s="14" t="s">
        <v>1502</v>
      </c>
      <c r="E457" s="15" t="s">
        <v>2189</v>
      </c>
      <c r="F457" s="16" t="s">
        <v>3115</v>
      </c>
      <c r="G457" s="16" t="s">
        <v>3116</v>
      </c>
    </row>
    <row r="458" spans="1:7" x14ac:dyDescent="0.25">
      <c r="A458" s="9" t="s">
        <v>3062</v>
      </c>
      <c r="B458" s="10" t="s">
        <v>1204</v>
      </c>
      <c r="C458" s="31" t="s">
        <v>479</v>
      </c>
      <c r="D458" s="10" t="s">
        <v>1503</v>
      </c>
      <c r="E458" s="11" t="s">
        <v>2189</v>
      </c>
      <c r="F458" s="12" t="s">
        <v>3117</v>
      </c>
      <c r="G458" s="12" t="s">
        <v>3118</v>
      </c>
    </row>
    <row r="459" spans="1:7" x14ac:dyDescent="0.25">
      <c r="A459" s="13" t="s">
        <v>3062</v>
      </c>
      <c r="B459" s="14" t="s">
        <v>1204</v>
      </c>
      <c r="C459" s="32" t="s">
        <v>480</v>
      </c>
      <c r="D459" s="14" t="s">
        <v>1504</v>
      </c>
      <c r="E459" s="15" t="s">
        <v>2189</v>
      </c>
      <c r="F459" s="16" t="s">
        <v>3119</v>
      </c>
      <c r="G459" s="16" t="s">
        <v>3120</v>
      </c>
    </row>
    <row r="460" spans="1:7" x14ac:dyDescent="0.25">
      <c r="A460" s="9" t="s">
        <v>3062</v>
      </c>
      <c r="B460" s="10" t="s">
        <v>1204</v>
      </c>
      <c r="C460" s="31" t="s">
        <v>481</v>
      </c>
      <c r="D460" s="10" t="s">
        <v>1505</v>
      </c>
      <c r="E460" s="11" t="s">
        <v>2189</v>
      </c>
      <c r="F460" s="12" t="s">
        <v>3121</v>
      </c>
      <c r="G460" s="12" t="s">
        <v>3122</v>
      </c>
    </row>
    <row r="461" spans="1:7" ht="24" x14ac:dyDescent="0.25">
      <c r="A461" s="13" t="s">
        <v>3123</v>
      </c>
      <c r="B461" s="14" t="s">
        <v>1506</v>
      </c>
      <c r="C461" s="32" t="s">
        <v>482</v>
      </c>
      <c r="D461" s="14" t="s">
        <v>1507</v>
      </c>
      <c r="E461" s="15" t="s">
        <v>2189</v>
      </c>
      <c r="F461" s="16" t="s">
        <v>3124</v>
      </c>
      <c r="G461" s="16" t="s">
        <v>3125</v>
      </c>
    </row>
    <row r="462" spans="1:7" ht="24" x14ac:dyDescent="0.25">
      <c r="A462" s="9" t="s">
        <v>3123</v>
      </c>
      <c r="B462" s="10" t="s">
        <v>1506</v>
      </c>
      <c r="C462" s="31" t="s">
        <v>483</v>
      </c>
      <c r="D462" s="10" t="s">
        <v>1508</v>
      </c>
      <c r="E462" s="11" t="s">
        <v>2189</v>
      </c>
      <c r="F462" s="12" t="s">
        <v>3126</v>
      </c>
      <c r="G462" s="12" t="s">
        <v>3127</v>
      </c>
    </row>
    <row r="463" spans="1:7" ht="24" x14ac:dyDescent="0.25">
      <c r="A463" s="13" t="s">
        <v>3123</v>
      </c>
      <c r="B463" s="14" t="s">
        <v>1506</v>
      </c>
      <c r="C463" s="32" t="s">
        <v>484</v>
      </c>
      <c r="D463" s="14" t="s">
        <v>1509</v>
      </c>
      <c r="E463" s="15" t="s">
        <v>2189</v>
      </c>
      <c r="F463" s="16" t="s">
        <v>3128</v>
      </c>
      <c r="G463" s="16" t="s">
        <v>3129</v>
      </c>
    </row>
    <row r="464" spans="1:7" ht="24" x14ac:dyDescent="0.25">
      <c r="A464" s="9" t="s">
        <v>3123</v>
      </c>
      <c r="B464" s="10" t="s">
        <v>1506</v>
      </c>
      <c r="C464" s="31" t="s">
        <v>485</v>
      </c>
      <c r="D464" s="10" t="s">
        <v>1510</v>
      </c>
      <c r="E464" s="11" t="s">
        <v>2189</v>
      </c>
      <c r="F464" s="12" t="s">
        <v>3130</v>
      </c>
      <c r="G464" s="12" t="s">
        <v>3131</v>
      </c>
    </row>
    <row r="465" spans="1:7" ht="24" x14ac:dyDescent="0.25">
      <c r="A465" s="13" t="s">
        <v>3123</v>
      </c>
      <c r="B465" s="14" t="s">
        <v>1506</v>
      </c>
      <c r="C465" s="32" t="s">
        <v>486</v>
      </c>
      <c r="D465" s="14" t="s">
        <v>1511</v>
      </c>
      <c r="E465" s="15" t="s">
        <v>2189</v>
      </c>
      <c r="F465" s="16" t="s">
        <v>3132</v>
      </c>
      <c r="G465" s="16" t="s">
        <v>3133</v>
      </c>
    </row>
    <row r="466" spans="1:7" ht="24" x14ac:dyDescent="0.25">
      <c r="A466" s="9" t="s">
        <v>3123</v>
      </c>
      <c r="B466" s="10" t="s">
        <v>1506</v>
      </c>
      <c r="C466" s="31" t="s">
        <v>487</v>
      </c>
      <c r="D466" s="10" t="s">
        <v>1512</v>
      </c>
      <c r="E466" s="11" t="s">
        <v>2189</v>
      </c>
      <c r="F466" s="12" t="s">
        <v>3134</v>
      </c>
      <c r="G466" s="12" t="s">
        <v>3135</v>
      </c>
    </row>
    <row r="467" spans="1:7" ht="24" x14ac:dyDescent="0.25">
      <c r="A467" s="13" t="s">
        <v>3123</v>
      </c>
      <c r="B467" s="14" t="s">
        <v>1506</v>
      </c>
      <c r="C467" s="32" t="s">
        <v>488</v>
      </c>
      <c r="D467" s="14" t="s">
        <v>1513</v>
      </c>
      <c r="E467" s="15" t="s">
        <v>2189</v>
      </c>
      <c r="F467" s="16" t="s">
        <v>3136</v>
      </c>
      <c r="G467" s="16" t="s">
        <v>3137</v>
      </c>
    </row>
    <row r="468" spans="1:7" ht="24" x14ac:dyDescent="0.25">
      <c r="A468" s="9" t="s">
        <v>3123</v>
      </c>
      <c r="B468" s="10" t="s">
        <v>1506</v>
      </c>
      <c r="C468" s="31" t="s">
        <v>489</v>
      </c>
      <c r="D468" s="10" t="s">
        <v>1514</v>
      </c>
      <c r="E468" s="11" t="s">
        <v>2189</v>
      </c>
      <c r="F468" s="12" t="s">
        <v>3138</v>
      </c>
      <c r="G468" s="12" t="s">
        <v>3139</v>
      </c>
    </row>
    <row r="469" spans="1:7" ht="24" x14ac:dyDescent="0.25">
      <c r="A469" s="13" t="s">
        <v>3123</v>
      </c>
      <c r="B469" s="14" t="s">
        <v>1506</v>
      </c>
      <c r="C469" s="32" t="s">
        <v>490</v>
      </c>
      <c r="D469" s="14" t="s">
        <v>1515</v>
      </c>
      <c r="E469" s="15" t="s">
        <v>2189</v>
      </c>
      <c r="F469" s="16" t="s">
        <v>3140</v>
      </c>
      <c r="G469" s="16" t="s">
        <v>3141</v>
      </c>
    </row>
    <row r="470" spans="1:7" ht="24" x14ac:dyDescent="0.25">
      <c r="A470" s="9" t="s">
        <v>3123</v>
      </c>
      <c r="B470" s="10" t="s">
        <v>1506</v>
      </c>
      <c r="C470" s="31" t="s">
        <v>491</v>
      </c>
      <c r="D470" s="10" t="s">
        <v>1516</v>
      </c>
      <c r="E470" s="11" t="s">
        <v>2189</v>
      </c>
      <c r="F470" s="12" t="s">
        <v>3142</v>
      </c>
      <c r="G470" s="12" t="s">
        <v>3143</v>
      </c>
    </row>
    <row r="471" spans="1:7" ht="24" x14ac:dyDescent="0.25">
      <c r="A471" s="13" t="s">
        <v>3123</v>
      </c>
      <c r="B471" s="14" t="s">
        <v>1506</v>
      </c>
      <c r="C471" s="32" t="s">
        <v>492</v>
      </c>
      <c r="D471" s="14" t="s">
        <v>1517</v>
      </c>
      <c r="E471" s="15" t="s">
        <v>2189</v>
      </c>
      <c r="F471" s="16" t="s">
        <v>3144</v>
      </c>
      <c r="G471" s="16" t="s">
        <v>3145</v>
      </c>
    </row>
    <row r="472" spans="1:7" ht="24" x14ac:dyDescent="0.25">
      <c r="A472" s="9" t="s">
        <v>3123</v>
      </c>
      <c r="B472" s="10" t="s">
        <v>1506</v>
      </c>
      <c r="C472" s="31" t="s">
        <v>493</v>
      </c>
      <c r="D472" s="10" t="s">
        <v>1518</v>
      </c>
      <c r="E472" s="11" t="s">
        <v>2189</v>
      </c>
      <c r="F472" s="12" t="s">
        <v>3146</v>
      </c>
      <c r="G472" s="12" t="s">
        <v>3147</v>
      </c>
    </row>
    <row r="473" spans="1:7" ht="24" x14ac:dyDescent="0.25">
      <c r="A473" s="13" t="s">
        <v>3123</v>
      </c>
      <c r="B473" s="14" t="s">
        <v>1506</v>
      </c>
      <c r="C473" s="32" t="s">
        <v>494</v>
      </c>
      <c r="D473" s="14" t="s">
        <v>1519</v>
      </c>
      <c r="E473" s="15" t="s">
        <v>2189</v>
      </c>
      <c r="F473" s="16" t="s">
        <v>3148</v>
      </c>
      <c r="G473" s="16" t="s">
        <v>3149</v>
      </c>
    </row>
    <row r="474" spans="1:7" ht="24" x14ac:dyDescent="0.25">
      <c r="A474" s="9" t="s">
        <v>3123</v>
      </c>
      <c r="B474" s="10" t="s">
        <v>1506</v>
      </c>
      <c r="C474" s="31" t="s">
        <v>495</v>
      </c>
      <c r="D474" s="10" t="s">
        <v>1520</v>
      </c>
      <c r="E474" s="11" t="s">
        <v>2189</v>
      </c>
      <c r="F474" s="12" t="s">
        <v>3150</v>
      </c>
      <c r="G474" s="12" t="s">
        <v>3151</v>
      </c>
    </row>
    <row r="475" spans="1:7" ht="24" x14ac:dyDescent="0.25">
      <c r="A475" s="13" t="s">
        <v>3123</v>
      </c>
      <c r="B475" s="14" t="s">
        <v>1506</v>
      </c>
      <c r="C475" s="32" t="s">
        <v>2107</v>
      </c>
      <c r="D475" s="14" t="s">
        <v>2177</v>
      </c>
      <c r="E475" s="15" t="s">
        <v>2189</v>
      </c>
      <c r="F475" s="16" t="s">
        <v>3152</v>
      </c>
      <c r="G475" s="16" t="s">
        <v>3153</v>
      </c>
    </row>
    <row r="476" spans="1:7" ht="24" x14ac:dyDescent="0.25">
      <c r="A476" s="9" t="s">
        <v>3123</v>
      </c>
      <c r="B476" s="10" t="s">
        <v>1506</v>
      </c>
      <c r="C476" s="31" t="s">
        <v>496</v>
      </c>
      <c r="D476" s="10" t="s">
        <v>1521</v>
      </c>
      <c r="E476" s="11" t="s">
        <v>2189</v>
      </c>
      <c r="F476" s="12" t="s">
        <v>3154</v>
      </c>
      <c r="G476" s="12" t="s">
        <v>3155</v>
      </c>
    </row>
    <row r="477" spans="1:7" ht="24" x14ac:dyDescent="0.25">
      <c r="A477" s="13" t="s">
        <v>3123</v>
      </c>
      <c r="B477" s="14" t="s">
        <v>1506</v>
      </c>
      <c r="C477" s="32" t="s">
        <v>497</v>
      </c>
      <c r="D477" s="14" t="s">
        <v>1522</v>
      </c>
      <c r="E477" s="15" t="s">
        <v>2189</v>
      </c>
      <c r="F477" s="16" t="s">
        <v>3156</v>
      </c>
      <c r="G477" s="16" t="s">
        <v>3157</v>
      </c>
    </row>
    <row r="478" spans="1:7" ht="24" x14ac:dyDescent="0.25">
      <c r="A478" s="9" t="s">
        <v>3123</v>
      </c>
      <c r="B478" s="10" t="s">
        <v>1506</v>
      </c>
      <c r="C478" s="31" t="s">
        <v>498</v>
      </c>
      <c r="D478" s="10" t="s">
        <v>1523</v>
      </c>
      <c r="E478" s="11" t="s">
        <v>2189</v>
      </c>
      <c r="F478" s="12" t="s">
        <v>3158</v>
      </c>
      <c r="G478" s="12" t="s">
        <v>3159</v>
      </c>
    </row>
    <row r="479" spans="1:7" ht="24" x14ac:dyDescent="0.25">
      <c r="A479" s="13" t="s">
        <v>3123</v>
      </c>
      <c r="B479" s="14" t="s">
        <v>1506</v>
      </c>
      <c r="C479" s="32" t="s">
        <v>499</v>
      </c>
      <c r="D479" s="14" t="s">
        <v>1524</v>
      </c>
      <c r="E479" s="15" t="s">
        <v>2189</v>
      </c>
      <c r="F479" s="16" t="s">
        <v>3160</v>
      </c>
      <c r="G479" s="16" t="s">
        <v>3161</v>
      </c>
    </row>
    <row r="480" spans="1:7" ht="24" x14ac:dyDescent="0.25">
      <c r="A480" s="9" t="s">
        <v>3123</v>
      </c>
      <c r="B480" s="10" t="s">
        <v>1506</v>
      </c>
      <c r="C480" s="31" t="s">
        <v>500</v>
      </c>
      <c r="D480" s="10" t="s">
        <v>1525</v>
      </c>
      <c r="E480" s="11" t="s">
        <v>2189</v>
      </c>
      <c r="F480" s="12" t="s">
        <v>3162</v>
      </c>
      <c r="G480" s="12" t="s">
        <v>3163</v>
      </c>
    </row>
    <row r="481" spans="1:7" ht="24" x14ac:dyDescent="0.25">
      <c r="A481" s="13" t="s">
        <v>3123</v>
      </c>
      <c r="B481" s="14" t="s">
        <v>1506</v>
      </c>
      <c r="C481" s="32" t="s">
        <v>501</v>
      </c>
      <c r="D481" s="14" t="s">
        <v>1526</v>
      </c>
      <c r="E481" s="15" t="s">
        <v>2189</v>
      </c>
      <c r="F481" s="16" t="s">
        <v>3164</v>
      </c>
      <c r="G481" s="16" t="s">
        <v>3165</v>
      </c>
    </row>
    <row r="482" spans="1:7" ht="24" x14ac:dyDescent="0.25">
      <c r="A482" s="9" t="s">
        <v>3123</v>
      </c>
      <c r="B482" s="10" t="s">
        <v>1506</v>
      </c>
      <c r="C482" s="31" t="s">
        <v>502</v>
      </c>
      <c r="D482" s="10" t="s">
        <v>1527</v>
      </c>
      <c r="E482" s="11" t="s">
        <v>2189</v>
      </c>
      <c r="F482" s="12" t="s">
        <v>3166</v>
      </c>
      <c r="G482" s="12" t="s">
        <v>3167</v>
      </c>
    </row>
    <row r="483" spans="1:7" ht="24" x14ac:dyDescent="0.25">
      <c r="A483" s="13" t="s">
        <v>3123</v>
      </c>
      <c r="B483" s="14" t="s">
        <v>1506</v>
      </c>
      <c r="C483" s="32" t="s">
        <v>503</v>
      </c>
      <c r="D483" s="14" t="s">
        <v>1528</v>
      </c>
      <c r="E483" s="15" t="s">
        <v>2189</v>
      </c>
      <c r="F483" s="16" t="s">
        <v>3168</v>
      </c>
      <c r="G483" s="16" t="s">
        <v>3169</v>
      </c>
    </row>
    <row r="484" spans="1:7" ht="24" x14ac:dyDescent="0.25">
      <c r="A484" s="9" t="s">
        <v>3123</v>
      </c>
      <c r="B484" s="10" t="s">
        <v>1506</v>
      </c>
      <c r="C484" s="31" t="s">
        <v>504</v>
      </c>
      <c r="D484" s="10" t="s">
        <v>1208</v>
      </c>
      <c r="E484" s="11" t="s">
        <v>2189</v>
      </c>
      <c r="F484" s="12" t="s">
        <v>3170</v>
      </c>
      <c r="G484" s="12" t="s">
        <v>3171</v>
      </c>
    </row>
    <row r="485" spans="1:7" ht="24" x14ac:dyDescent="0.25">
      <c r="A485" s="13" t="s">
        <v>3123</v>
      </c>
      <c r="B485" s="14" t="s">
        <v>1506</v>
      </c>
      <c r="C485" s="32" t="s">
        <v>505</v>
      </c>
      <c r="D485" s="14" t="s">
        <v>1529</v>
      </c>
      <c r="E485" s="15" t="s">
        <v>2189</v>
      </c>
      <c r="F485" s="16" t="s">
        <v>3172</v>
      </c>
      <c r="G485" s="16" t="s">
        <v>3173</v>
      </c>
    </row>
    <row r="486" spans="1:7" ht="24" x14ac:dyDescent="0.25">
      <c r="A486" s="9" t="s">
        <v>3123</v>
      </c>
      <c r="B486" s="10" t="s">
        <v>1506</v>
      </c>
      <c r="C486" s="31" t="s">
        <v>506</v>
      </c>
      <c r="D486" s="10" t="s">
        <v>1530</v>
      </c>
      <c r="E486" s="11" t="s">
        <v>2189</v>
      </c>
      <c r="F486" s="12" t="s">
        <v>3174</v>
      </c>
      <c r="G486" s="12" t="s">
        <v>3175</v>
      </c>
    </row>
    <row r="487" spans="1:7" ht="24" x14ac:dyDescent="0.25">
      <c r="A487" s="13" t="s">
        <v>3123</v>
      </c>
      <c r="B487" s="14" t="s">
        <v>1506</v>
      </c>
      <c r="C487" s="32" t="s">
        <v>507</v>
      </c>
      <c r="D487" s="14" t="s">
        <v>1531</v>
      </c>
      <c r="E487" s="15" t="s">
        <v>2189</v>
      </c>
      <c r="F487" s="16" t="s">
        <v>3176</v>
      </c>
      <c r="G487" s="16" t="s">
        <v>3177</v>
      </c>
    </row>
    <row r="488" spans="1:7" ht="24" x14ac:dyDescent="0.25">
      <c r="A488" s="9" t="s">
        <v>3123</v>
      </c>
      <c r="B488" s="10" t="s">
        <v>1506</v>
      </c>
      <c r="C488" s="31" t="s">
        <v>508</v>
      </c>
      <c r="D488" s="10" t="s">
        <v>1532</v>
      </c>
      <c r="E488" s="11" t="s">
        <v>2189</v>
      </c>
      <c r="F488" s="12" t="s">
        <v>3178</v>
      </c>
      <c r="G488" s="12" t="s">
        <v>3179</v>
      </c>
    </row>
    <row r="489" spans="1:7" ht="24" x14ac:dyDescent="0.25">
      <c r="A489" s="13" t="s">
        <v>3123</v>
      </c>
      <c r="B489" s="14" t="s">
        <v>1506</v>
      </c>
      <c r="C489" s="32" t="s">
        <v>509</v>
      </c>
      <c r="D489" s="14" t="s">
        <v>1533</v>
      </c>
      <c r="E489" s="15" t="s">
        <v>2189</v>
      </c>
      <c r="F489" s="16" t="s">
        <v>3180</v>
      </c>
      <c r="G489" s="16" t="s">
        <v>3181</v>
      </c>
    </row>
    <row r="490" spans="1:7" ht="24" x14ac:dyDescent="0.25">
      <c r="A490" s="9" t="s">
        <v>3123</v>
      </c>
      <c r="B490" s="10" t="s">
        <v>1506</v>
      </c>
      <c r="C490" s="31" t="s">
        <v>510</v>
      </c>
      <c r="D490" s="10" t="s">
        <v>1534</v>
      </c>
      <c r="E490" s="11" t="s">
        <v>2189</v>
      </c>
      <c r="F490" s="12" t="s">
        <v>3182</v>
      </c>
      <c r="G490" s="12" t="s">
        <v>3183</v>
      </c>
    </row>
    <row r="491" spans="1:7" ht="24" x14ac:dyDescent="0.25">
      <c r="A491" s="13" t="s">
        <v>3123</v>
      </c>
      <c r="B491" s="14" t="s">
        <v>1506</v>
      </c>
      <c r="C491" s="32" t="s">
        <v>511</v>
      </c>
      <c r="D491" s="14" t="s">
        <v>1535</v>
      </c>
      <c r="E491" s="15" t="s">
        <v>2189</v>
      </c>
      <c r="F491" s="16" t="s">
        <v>3184</v>
      </c>
      <c r="G491" s="16" t="s">
        <v>3185</v>
      </c>
    </row>
    <row r="492" spans="1:7" ht="24" x14ac:dyDescent="0.25">
      <c r="A492" s="9" t="s">
        <v>3123</v>
      </c>
      <c r="B492" s="10" t="s">
        <v>1506</v>
      </c>
      <c r="C492" s="31" t="s">
        <v>512</v>
      </c>
      <c r="D492" s="10" t="s">
        <v>1536</v>
      </c>
      <c r="E492" s="11" t="s">
        <v>2189</v>
      </c>
      <c r="F492" s="12" t="s">
        <v>3186</v>
      </c>
      <c r="G492" s="12" t="s">
        <v>3187</v>
      </c>
    </row>
    <row r="493" spans="1:7" ht="24" x14ac:dyDescent="0.25">
      <c r="A493" s="13" t="s">
        <v>3123</v>
      </c>
      <c r="B493" s="14" t="s">
        <v>1506</v>
      </c>
      <c r="C493" s="32" t="s">
        <v>513</v>
      </c>
      <c r="D493" s="14" t="s">
        <v>1537</v>
      </c>
      <c r="E493" s="15" t="s">
        <v>2189</v>
      </c>
      <c r="F493" s="16" t="s">
        <v>3188</v>
      </c>
      <c r="G493" s="16" t="s">
        <v>3189</v>
      </c>
    </row>
    <row r="494" spans="1:7" ht="24" x14ac:dyDescent="0.25">
      <c r="A494" s="9" t="s">
        <v>3123</v>
      </c>
      <c r="B494" s="10" t="s">
        <v>1506</v>
      </c>
      <c r="C494" s="31" t="s">
        <v>514</v>
      </c>
      <c r="D494" s="10" t="s">
        <v>1538</v>
      </c>
      <c r="E494" s="11" t="s">
        <v>2189</v>
      </c>
      <c r="F494" s="12" t="s">
        <v>3190</v>
      </c>
      <c r="G494" s="12" t="s">
        <v>3191</v>
      </c>
    </row>
    <row r="495" spans="1:7" ht="24" x14ac:dyDescent="0.25">
      <c r="A495" s="13" t="s">
        <v>3123</v>
      </c>
      <c r="B495" s="14" t="s">
        <v>1506</v>
      </c>
      <c r="C495" s="32" t="s">
        <v>515</v>
      </c>
      <c r="D495" s="14" t="s">
        <v>1539</v>
      </c>
      <c r="E495" s="15" t="s">
        <v>2189</v>
      </c>
      <c r="F495" s="16" t="s">
        <v>3192</v>
      </c>
      <c r="G495" s="16" t="s">
        <v>3193</v>
      </c>
    </row>
    <row r="496" spans="1:7" ht="24" x14ac:dyDescent="0.25">
      <c r="A496" s="9" t="s">
        <v>3123</v>
      </c>
      <c r="B496" s="10" t="s">
        <v>1506</v>
      </c>
      <c r="C496" s="31" t="s">
        <v>516</v>
      </c>
      <c r="D496" s="10" t="s">
        <v>1540</v>
      </c>
      <c r="E496" s="11" t="s">
        <v>2189</v>
      </c>
      <c r="F496" s="12" t="s">
        <v>3194</v>
      </c>
      <c r="G496" s="12" t="s">
        <v>3195</v>
      </c>
    </row>
    <row r="497" spans="1:7" ht="24" x14ac:dyDescent="0.25">
      <c r="A497" s="13" t="s">
        <v>3123</v>
      </c>
      <c r="B497" s="14" t="s">
        <v>1506</v>
      </c>
      <c r="C497" s="32" t="s">
        <v>517</v>
      </c>
      <c r="D497" s="14" t="s">
        <v>1095</v>
      </c>
      <c r="E497" s="15" t="s">
        <v>2189</v>
      </c>
      <c r="F497" s="16" t="s">
        <v>3196</v>
      </c>
      <c r="G497" s="16" t="s">
        <v>3197</v>
      </c>
    </row>
    <row r="498" spans="1:7" ht="24" x14ac:dyDescent="0.25">
      <c r="A498" s="9" t="s">
        <v>3123</v>
      </c>
      <c r="B498" s="10" t="s">
        <v>1506</v>
      </c>
      <c r="C498" s="31" t="s">
        <v>518</v>
      </c>
      <c r="D498" s="10" t="s">
        <v>1541</v>
      </c>
      <c r="E498" s="11" t="s">
        <v>2189</v>
      </c>
      <c r="F498" s="12" t="s">
        <v>3198</v>
      </c>
      <c r="G498" s="12" t="s">
        <v>3199</v>
      </c>
    </row>
    <row r="499" spans="1:7" ht="24" x14ac:dyDescent="0.25">
      <c r="A499" s="13" t="s">
        <v>3123</v>
      </c>
      <c r="B499" s="14" t="s">
        <v>1506</v>
      </c>
      <c r="C499" s="32" t="s">
        <v>519</v>
      </c>
      <c r="D499" s="14" t="s">
        <v>1542</v>
      </c>
      <c r="E499" s="15" t="s">
        <v>2189</v>
      </c>
      <c r="F499" s="16" t="s">
        <v>3200</v>
      </c>
      <c r="G499" s="16" t="s">
        <v>3201</v>
      </c>
    </row>
    <row r="500" spans="1:7" ht="24" x14ac:dyDescent="0.25">
      <c r="A500" s="9" t="s">
        <v>3123</v>
      </c>
      <c r="B500" s="10" t="s">
        <v>1506</v>
      </c>
      <c r="C500" s="31" t="s">
        <v>520</v>
      </c>
      <c r="D500" s="10" t="s">
        <v>1543</v>
      </c>
      <c r="E500" s="11" t="s">
        <v>2189</v>
      </c>
      <c r="F500" s="12" t="s">
        <v>3202</v>
      </c>
      <c r="G500" s="12" t="s">
        <v>3203</v>
      </c>
    </row>
    <row r="501" spans="1:7" ht="24" x14ac:dyDescent="0.25">
      <c r="A501" s="13" t="s">
        <v>3123</v>
      </c>
      <c r="B501" s="14" t="s">
        <v>1506</v>
      </c>
      <c r="C501" s="32" t="s">
        <v>521</v>
      </c>
      <c r="D501" s="14" t="s">
        <v>1544</v>
      </c>
      <c r="E501" s="15" t="s">
        <v>2189</v>
      </c>
      <c r="F501" s="16" t="s">
        <v>3204</v>
      </c>
      <c r="G501" s="16" t="s">
        <v>3205</v>
      </c>
    </row>
    <row r="502" spans="1:7" ht="24" x14ac:dyDescent="0.25">
      <c r="A502" s="9" t="s">
        <v>3123</v>
      </c>
      <c r="B502" s="10" t="s">
        <v>1506</v>
      </c>
      <c r="C502" s="31" t="s">
        <v>522</v>
      </c>
      <c r="D502" s="10" t="s">
        <v>1545</v>
      </c>
      <c r="E502" s="11" t="s">
        <v>2189</v>
      </c>
      <c r="F502" s="12" t="s">
        <v>3206</v>
      </c>
      <c r="G502" s="12" t="s">
        <v>3207</v>
      </c>
    </row>
    <row r="503" spans="1:7" ht="24" x14ac:dyDescent="0.25">
      <c r="A503" s="13" t="s">
        <v>3123</v>
      </c>
      <c r="B503" s="14" t="s">
        <v>1506</v>
      </c>
      <c r="C503" s="32" t="s">
        <v>2110</v>
      </c>
      <c r="D503" s="14" t="s">
        <v>2179</v>
      </c>
      <c r="E503" s="15" t="s">
        <v>2189</v>
      </c>
      <c r="F503" s="16" t="s">
        <v>3208</v>
      </c>
      <c r="G503" s="16" t="s">
        <v>3209</v>
      </c>
    </row>
    <row r="504" spans="1:7" ht="24" x14ac:dyDescent="0.25">
      <c r="A504" s="9" t="s">
        <v>3123</v>
      </c>
      <c r="B504" s="10" t="s">
        <v>1506</v>
      </c>
      <c r="C504" s="31" t="s">
        <v>523</v>
      </c>
      <c r="D504" s="10" t="s">
        <v>1546</v>
      </c>
      <c r="E504" s="11" t="s">
        <v>2189</v>
      </c>
      <c r="F504" s="12" t="s">
        <v>3210</v>
      </c>
      <c r="G504" s="12" t="s">
        <v>3211</v>
      </c>
    </row>
    <row r="505" spans="1:7" ht="24" x14ac:dyDescent="0.25">
      <c r="A505" s="13" t="s">
        <v>3123</v>
      </c>
      <c r="B505" s="14" t="s">
        <v>1506</v>
      </c>
      <c r="C505" s="32" t="s">
        <v>2099</v>
      </c>
      <c r="D505" s="14" t="s">
        <v>2169</v>
      </c>
      <c r="E505" s="15" t="s">
        <v>2189</v>
      </c>
      <c r="F505" s="16" t="s">
        <v>3212</v>
      </c>
      <c r="G505" s="16" t="s">
        <v>3213</v>
      </c>
    </row>
    <row r="506" spans="1:7" ht="24" x14ac:dyDescent="0.25">
      <c r="A506" s="9" t="s">
        <v>3123</v>
      </c>
      <c r="B506" s="10" t="s">
        <v>1506</v>
      </c>
      <c r="C506" s="31" t="s">
        <v>2065</v>
      </c>
      <c r="D506" s="10" t="s">
        <v>2142</v>
      </c>
      <c r="E506" s="11" t="s">
        <v>2189</v>
      </c>
      <c r="F506" s="12" t="s">
        <v>3214</v>
      </c>
      <c r="G506" s="12" t="s">
        <v>3215</v>
      </c>
    </row>
    <row r="507" spans="1:7" ht="24" x14ac:dyDescent="0.25">
      <c r="A507" s="13" t="s">
        <v>3123</v>
      </c>
      <c r="B507" s="14" t="s">
        <v>1506</v>
      </c>
      <c r="C507" s="32" t="s">
        <v>524</v>
      </c>
      <c r="D507" s="14" t="s">
        <v>1547</v>
      </c>
      <c r="E507" s="15" t="s">
        <v>2189</v>
      </c>
      <c r="F507" s="16" t="s">
        <v>3216</v>
      </c>
      <c r="G507" s="16" t="s">
        <v>3217</v>
      </c>
    </row>
    <row r="508" spans="1:7" ht="24" x14ac:dyDescent="0.25">
      <c r="A508" s="9" t="s">
        <v>3123</v>
      </c>
      <c r="B508" s="10" t="s">
        <v>1506</v>
      </c>
      <c r="C508" s="31" t="s">
        <v>525</v>
      </c>
      <c r="D508" s="10" t="s">
        <v>1548</v>
      </c>
      <c r="E508" s="11" t="s">
        <v>2189</v>
      </c>
      <c r="F508" s="12" t="s">
        <v>3218</v>
      </c>
      <c r="G508" s="12" t="s">
        <v>3219</v>
      </c>
    </row>
    <row r="509" spans="1:7" ht="24" x14ac:dyDescent="0.25">
      <c r="A509" s="13" t="s">
        <v>3123</v>
      </c>
      <c r="B509" s="14" t="s">
        <v>1506</v>
      </c>
      <c r="C509" s="32" t="s">
        <v>526</v>
      </c>
      <c r="D509" s="14" t="s">
        <v>1549</v>
      </c>
      <c r="E509" s="15" t="s">
        <v>2189</v>
      </c>
      <c r="F509" s="16" t="s">
        <v>3220</v>
      </c>
      <c r="G509" s="16" t="s">
        <v>3221</v>
      </c>
    </row>
    <row r="510" spans="1:7" ht="24" x14ac:dyDescent="0.25">
      <c r="A510" s="9" t="s">
        <v>3123</v>
      </c>
      <c r="B510" s="10" t="s">
        <v>1506</v>
      </c>
      <c r="C510" s="31" t="s">
        <v>527</v>
      </c>
      <c r="D510" s="10" t="s">
        <v>1550</v>
      </c>
      <c r="E510" s="11" t="s">
        <v>2189</v>
      </c>
      <c r="F510" s="12" t="s">
        <v>3222</v>
      </c>
      <c r="G510" s="12" t="s">
        <v>3223</v>
      </c>
    </row>
    <row r="511" spans="1:7" ht="24" x14ac:dyDescent="0.25">
      <c r="A511" s="13" t="s">
        <v>3123</v>
      </c>
      <c r="B511" s="14" t="s">
        <v>1506</v>
      </c>
      <c r="C511" s="32" t="s">
        <v>2096</v>
      </c>
      <c r="D511" s="14" t="s">
        <v>2166</v>
      </c>
      <c r="E511" s="15" t="s">
        <v>2189</v>
      </c>
      <c r="F511" s="16" t="s">
        <v>3224</v>
      </c>
      <c r="G511" s="16" t="s">
        <v>3225</v>
      </c>
    </row>
    <row r="512" spans="1:7" ht="24" x14ac:dyDescent="0.25">
      <c r="A512" s="9" t="s">
        <v>3123</v>
      </c>
      <c r="B512" s="10" t="s">
        <v>1506</v>
      </c>
      <c r="C512" s="31" t="s">
        <v>528</v>
      </c>
      <c r="D512" s="10" t="s">
        <v>1408</v>
      </c>
      <c r="E512" s="11" t="s">
        <v>2189</v>
      </c>
      <c r="F512" s="12" t="s">
        <v>3226</v>
      </c>
      <c r="G512" s="12" t="s">
        <v>3227</v>
      </c>
    </row>
    <row r="513" spans="1:7" ht="24" x14ac:dyDescent="0.25">
      <c r="A513" s="13" t="s">
        <v>3123</v>
      </c>
      <c r="B513" s="14" t="s">
        <v>1506</v>
      </c>
      <c r="C513" s="32" t="s">
        <v>529</v>
      </c>
      <c r="D513" s="14" t="s">
        <v>1551</v>
      </c>
      <c r="E513" s="15" t="s">
        <v>2189</v>
      </c>
      <c r="F513" s="16" t="s">
        <v>3228</v>
      </c>
      <c r="G513" s="16" t="s">
        <v>3229</v>
      </c>
    </row>
    <row r="514" spans="1:7" ht="24" x14ac:dyDescent="0.25">
      <c r="A514" s="9" t="s">
        <v>3123</v>
      </c>
      <c r="B514" s="10" t="s">
        <v>1506</v>
      </c>
      <c r="C514" s="31" t="s">
        <v>530</v>
      </c>
      <c r="D514" s="10" t="s">
        <v>1552</v>
      </c>
      <c r="E514" s="11" t="s">
        <v>2189</v>
      </c>
      <c r="F514" s="12" t="s">
        <v>3230</v>
      </c>
      <c r="G514" s="12" t="s">
        <v>3231</v>
      </c>
    </row>
    <row r="515" spans="1:7" ht="24" x14ac:dyDescent="0.25">
      <c r="A515" s="13" t="s">
        <v>3123</v>
      </c>
      <c r="B515" s="14" t="s">
        <v>1506</v>
      </c>
      <c r="C515" s="32" t="s">
        <v>531</v>
      </c>
      <c r="D515" s="14" t="s">
        <v>1553</v>
      </c>
      <c r="E515" s="15" t="s">
        <v>2189</v>
      </c>
      <c r="F515" s="16" t="s">
        <v>3232</v>
      </c>
      <c r="G515" s="16" t="s">
        <v>3233</v>
      </c>
    </row>
    <row r="516" spans="1:7" ht="24" x14ac:dyDescent="0.25">
      <c r="A516" s="9" t="s">
        <v>3123</v>
      </c>
      <c r="B516" s="10" t="s">
        <v>1506</v>
      </c>
      <c r="C516" s="31" t="s">
        <v>532</v>
      </c>
      <c r="D516" s="10" t="s">
        <v>1554</v>
      </c>
      <c r="E516" s="11" t="s">
        <v>2189</v>
      </c>
      <c r="F516" s="12" t="s">
        <v>3234</v>
      </c>
      <c r="G516" s="12" t="s">
        <v>3235</v>
      </c>
    </row>
    <row r="517" spans="1:7" ht="24" x14ac:dyDescent="0.25">
      <c r="A517" s="13" t="s">
        <v>3123</v>
      </c>
      <c r="B517" s="14" t="s">
        <v>1506</v>
      </c>
      <c r="C517" s="32" t="s">
        <v>2113</v>
      </c>
      <c r="D517" s="14" t="s">
        <v>2182</v>
      </c>
      <c r="E517" s="15" t="s">
        <v>2189</v>
      </c>
      <c r="F517" s="16" t="s">
        <v>3236</v>
      </c>
      <c r="G517" s="16" t="s">
        <v>3237</v>
      </c>
    </row>
    <row r="518" spans="1:7" ht="24" x14ac:dyDescent="0.25">
      <c r="A518" s="9" t="s">
        <v>3123</v>
      </c>
      <c r="B518" s="10" t="s">
        <v>1506</v>
      </c>
      <c r="C518" s="31" t="s">
        <v>533</v>
      </c>
      <c r="D518" s="10" t="s">
        <v>1555</v>
      </c>
      <c r="E518" s="11" t="s">
        <v>2189</v>
      </c>
      <c r="F518" s="12" t="s">
        <v>3238</v>
      </c>
      <c r="G518" s="12" t="s">
        <v>3239</v>
      </c>
    </row>
    <row r="519" spans="1:7" ht="24" x14ac:dyDescent="0.25">
      <c r="A519" s="13" t="s">
        <v>3123</v>
      </c>
      <c r="B519" s="14" t="s">
        <v>1506</v>
      </c>
      <c r="C519" s="32" t="s">
        <v>534</v>
      </c>
      <c r="D519" s="14" t="s">
        <v>1556</v>
      </c>
      <c r="E519" s="15" t="s">
        <v>2189</v>
      </c>
      <c r="F519" s="16" t="s">
        <v>3240</v>
      </c>
      <c r="G519" s="16" t="s">
        <v>3241</v>
      </c>
    </row>
    <row r="520" spans="1:7" ht="24" x14ac:dyDescent="0.25">
      <c r="A520" s="9" t="s">
        <v>3123</v>
      </c>
      <c r="B520" s="10" t="s">
        <v>1506</v>
      </c>
      <c r="C520" s="31" t="s">
        <v>535</v>
      </c>
      <c r="D520" s="10" t="s">
        <v>1557</v>
      </c>
      <c r="E520" s="11" t="s">
        <v>2189</v>
      </c>
      <c r="F520" s="12" t="s">
        <v>3242</v>
      </c>
      <c r="G520" s="12" t="s">
        <v>3243</v>
      </c>
    </row>
    <row r="521" spans="1:7" ht="24" x14ac:dyDescent="0.25">
      <c r="A521" s="13" t="s">
        <v>3123</v>
      </c>
      <c r="B521" s="14" t="s">
        <v>1506</v>
      </c>
      <c r="C521" s="32" t="s">
        <v>536</v>
      </c>
      <c r="D521" s="14" t="s">
        <v>1558</v>
      </c>
      <c r="E521" s="15" t="s">
        <v>2189</v>
      </c>
      <c r="F521" s="16" t="s">
        <v>3244</v>
      </c>
      <c r="G521" s="16" t="s">
        <v>3245</v>
      </c>
    </row>
    <row r="522" spans="1:7" ht="24" x14ac:dyDescent="0.25">
      <c r="A522" s="9" t="s">
        <v>3123</v>
      </c>
      <c r="B522" s="10" t="s">
        <v>1506</v>
      </c>
      <c r="C522" s="31" t="s">
        <v>537</v>
      </c>
      <c r="D522" s="10" t="s">
        <v>1559</v>
      </c>
      <c r="E522" s="11" t="s">
        <v>2189</v>
      </c>
      <c r="F522" s="12" t="s">
        <v>3246</v>
      </c>
      <c r="G522" s="12" t="s">
        <v>3247</v>
      </c>
    </row>
    <row r="523" spans="1:7" ht="24" x14ac:dyDescent="0.25">
      <c r="A523" s="13" t="s">
        <v>3123</v>
      </c>
      <c r="B523" s="14" t="s">
        <v>1506</v>
      </c>
      <c r="C523" s="32" t="s">
        <v>538</v>
      </c>
      <c r="D523" s="14" t="s">
        <v>1560</v>
      </c>
      <c r="E523" s="15" t="s">
        <v>2189</v>
      </c>
      <c r="F523" s="16" t="s">
        <v>3248</v>
      </c>
      <c r="G523" s="16" t="s">
        <v>3249</v>
      </c>
    </row>
    <row r="524" spans="1:7" ht="24" x14ac:dyDescent="0.25">
      <c r="A524" s="9" t="s">
        <v>3123</v>
      </c>
      <c r="B524" s="10" t="s">
        <v>1506</v>
      </c>
      <c r="C524" s="31" t="s">
        <v>539</v>
      </c>
      <c r="D524" s="10" t="s">
        <v>1157</v>
      </c>
      <c r="E524" s="11" t="s">
        <v>2189</v>
      </c>
      <c r="F524" s="12" t="s">
        <v>3250</v>
      </c>
      <c r="G524" s="12" t="s">
        <v>3251</v>
      </c>
    </row>
    <row r="525" spans="1:7" ht="24" x14ac:dyDescent="0.25">
      <c r="A525" s="13" t="s">
        <v>3123</v>
      </c>
      <c r="B525" s="14" t="s">
        <v>1506</v>
      </c>
      <c r="C525" s="32" t="s">
        <v>540</v>
      </c>
      <c r="D525" s="14" t="s">
        <v>1561</v>
      </c>
      <c r="E525" s="15" t="s">
        <v>2189</v>
      </c>
      <c r="F525" s="16" t="s">
        <v>3252</v>
      </c>
      <c r="G525" s="16" t="s">
        <v>3253</v>
      </c>
    </row>
    <row r="526" spans="1:7" ht="24" x14ac:dyDescent="0.25">
      <c r="A526" s="9" t="s">
        <v>3123</v>
      </c>
      <c r="B526" s="10" t="s">
        <v>1506</v>
      </c>
      <c r="C526" s="31" t="s">
        <v>2093</v>
      </c>
      <c r="D526" s="10" t="s">
        <v>2164</v>
      </c>
      <c r="E526" s="11" t="s">
        <v>2189</v>
      </c>
      <c r="F526" s="12" t="s">
        <v>3254</v>
      </c>
      <c r="G526" s="12" t="s">
        <v>3255</v>
      </c>
    </row>
    <row r="527" spans="1:7" ht="24" x14ac:dyDescent="0.25">
      <c r="A527" s="13" t="s">
        <v>3123</v>
      </c>
      <c r="B527" s="14" t="s">
        <v>1506</v>
      </c>
      <c r="C527" s="32" t="s">
        <v>541</v>
      </c>
      <c r="D527" s="14" t="s">
        <v>1562</v>
      </c>
      <c r="E527" s="15" t="s">
        <v>2189</v>
      </c>
      <c r="F527" s="16" t="s">
        <v>3256</v>
      </c>
      <c r="G527" s="16" t="s">
        <v>3257</v>
      </c>
    </row>
    <row r="528" spans="1:7" ht="24" x14ac:dyDescent="0.25">
      <c r="A528" s="9" t="s">
        <v>3123</v>
      </c>
      <c r="B528" s="10" t="s">
        <v>1506</v>
      </c>
      <c r="C528" s="31" t="s">
        <v>542</v>
      </c>
      <c r="D528" s="10" t="s">
        <v>1563</v>
      </c>
      <c r="E528" s="11" t="s">
        <v>2189</v>
      </c>
      <c r="F528" s="12" t="s">
        <v>3258</v>
      </c>
      <c r="G528" s="12" t="s">
        <v>3259</v>
      </c>
    </row>
    <row r="529" spans="1:7" ht="24" x14ac:dyDescent="0.25">
      <c r="A529" s="13" t="s">
        <v>3123</v>
      </c>
      <c r="B529" s="14" t="s">
        <v>1506</v>
      </c>
      <c r="C529" s="32" t="s">
        <v>543</v>
      </c>
      <c r="D529" s="14" t="s">
        <v>1564</v>
      </c>
      <c r="E529" s="15" t="s">
        <v>2189</v>
      </c>
      <c r="F529" s="16" t="s">
        <v>3260</v>
      </c>
      <c r="G529" s="16" t="s">
        <v>3261</v>
      </c>
    </row>
    <row r="530" spans="1:7" ht="24" x14ac:dyDescent="0.25">
      <c r="A530" s="9" t="s">
        <v>3123</v>
      </c>
      <c r="B530" s="10" t="s">
        <v>1506</v>
      </c>
      <c r="C530" s="31" t="s">
        <v>544</v>
      </c>
      <c r="D530" s="10" t="s">
        <v>1565</v>
      </c>
      <c r="E530" s="11" t="s">
        <v>2189</v>
      </c>
      <c r="F530" s="12" t="s">
        <v>3262</v>
      </c>
      <c r="G530" s="12" t="s">
        <v>3263</v>
      </c>
    </row>
    <row r="531" spans="1:7" ht="24" x14ac:dyDescent="0.25">
      <c r="A531" s="13" t="s">
        <v>3123</v>
      </c>
      <c r="B531" s="14" t="s">
        <v>1506</v>
      </c>
      <c r="C531" s="32" t="s">
        <v>545</v>
      </c>
      <c r="D531" s="14" t="s">
        <v>1566</v>
      </c>
      <c r="E531" s="15" t="s">
        <v>2189</v>
      </c>
      <c r="F531" s="16" t="s">
        <v>3264</v>
      </c>
      <c r="G531" s="16" t="s">
        <v>3265</v>
      </c>
    </row>
    <row r="532" spans="1:7" ht="24" x14ac:dyDescent="0.25">
      <c r="A532" s="9" t="s">
        <v>3123</v>
      </c>
      <c r="B532" s="10" t="s">
        <v>1506</v>
      </c>
      <c r="C532" s="31" t="s">
        <v>546</v>
      </c>
      <c r="D532" s="10" t="s">
        <v>1567</v>
      </c>
      <c r="E532" s="11" t="s">
        <v>2189</v>
      </c>
      <c r="F532" s="12" t="s">
        <v>3266</v>
      </c>
      <c r="G532" s="12" t="s">
        <v>3267</v>
      </c>
    </row>
    <row r="533" spans="1:7" ht="24" x14ac:dyDescent="0.25">
      <c r="A533" s="13" t="s">
        <v>3123</v>
      </c>
      <c r="B533" s="14" t="s">
        <v>1506</v>
      </c>
      <c r="C533" s="32" t="s">
        <v>547</v>
      </c>
      <c r="D533" s="14" t="s">
        <v>1568</v>
      </c>
      <c r="E533" s="15" t="s">
        <v>2189</v>
      </c>
      <c r="F533" s="16" t="s">
        <v>3268</v>
      </c>
      <c r="G533" s="16" t="s">
        <v>3269</v>
      </c>
    </row>
    <row r="534" spans="1:7" ht="24" x14ac:dyDescent="0.25">
      <c r="A534" s="9" t="s">
        <v>3123</v>
      </c>
      <c r="B534" s="10" t="s">
        <v>1506</v>
      </c>
      <c r="C534" s="31" t="s">
        <v>548</v>
      </c>
      <c r="D534" s="10" t="s">
        <v>1569</v>
      </c>
      <c r="E534" s="11" t="s">
        <v>2189</v>
      </c>
      <c r="F534" s="12" t="s">
        <v>3270</v>
      </c>
      <c r="G534" s="12" t="s">
        <v>3271</v>
      </c>
    </row>
    <row r="535" spans="1:7" ht="24" x14ac:dyDescent="0.25">
      <c r="A535" s="13" t="s">
        <v>3123</v>
      </c>
      <c r="B535" s="14" t="s">
        <v>1506</v>
      </c>
      <c r="C535" s="32" t="s">
        <v>549</v>
      </c>
      <c r="D535" s="14" t="s">
        <v>1570</v>
      </c>
      <c r="E535" s="15" t="s">
        <v>2189</v>
      </c>
      <c r="F535" s="16" t="s">
        <v>3272</v>
      </c>
      <c r="G535" s="16" t="s">
        <v>3273</v>
      </c>
    </row>
    <row r="536" spans="1:7" ht="24" x14ac:dyDescent="0.25">
      <c r="A536" s="9" t="s">
        <v>3123</v>
      </c>
      <c r="B536" s="10" t="s">
        <v>1506</v>
      </c>
      <c r="C536" s="31" t="s">
        <v>550</v>
      </c>
      <c r="D536" s="10" t="s">
        <v>1571</v>
      </c>
      <c r="E536" s="11" t="s">
        <v>2189</v>
      </c>
      <c r="F536" s="12" t="s">
        <v>3274</v>
      </c>
      <c r="G536" s="12" t="s">
        <v>3275</v>
      </c>
    </row>
    <row r="537" spans="1:7" ht="60" x14ac:dyDescent="0.25">
      <c r="A537" s="13" t="s">
        <v>3123</v>
      </c>
      <c r="B537" s="14" t="s">
        <v>1506</v>
      </c>
      <c r="C537" s="32" t="s">
        <v>551</v>
      </c>
      <c r="D537" s="14" t="s">
        <v>1572</v>
      </c>
      <c r="E537" s="15" t="s">
        <v>2189</v>
      </c>
      <c r="F537" s="16" t="s">
        <v>3276</v>
      </c>
      <c r="G537" s="16" t="s">
        <v>3277</v>
      </c>
    </row>
    <row r="538" spans="1:7" ht="24" x14ac:dyDescent="0.25">
      <c r="A538" s="9" t="s">
        <v>3123</v>
      </c>
      <c r="B538" s="10" t="s">
        <v>1506</v>
      </c>
      <c r="C538" s="31" t="s">
        <v>552</v>
      </c>
      <c r="D538" s="10" t="s">
        <v>1573</v>
      </c>
      <c r="E538" s="11" t="s">
        <v>2189</v>
      </c>
      <c r="F538" s="12" t="s">
        <v>3278</v>
      </c>
      <c r="G538" s="12" t="s">
        <v>3279</v>
      </c>
    </row>
    <row r="539" spans="1:7" ht="24" x14ac:dyDescent="0.25">
      <c r="A539" s="13" t="s">
        <v>3123</v>
      </c>
      <c r="B539" s="14" t="s">
        <v>1506</v>
      </c>
      <c r="C539" s="32" t="s">
        <v>553</v>
      </c>
      <c r="D539" s="14" t="s">
        <v>1574</v>
      </c>
      <c r="E539" s="15" t="s">
        <v>2189</v>
      </c>
      <c r="F539" s="16" t="s">
        <v>3280</v>
      </c>
      <c r="G539" s="16" t="s">
        <v>3281</v>
      </c>
    </row>
    <row r="540" spans="1:7" ht="24" x14ac:dyDescent="0.25">
      <c r="A540" s="9" t="s">
        <v>3123</v>
      </c>
      <c r="B540" s="10" t="s">
        <v>1506</v>
      </c>
      <c r="C540" s="31" t="s">
        <v>554</v>
      </c>
      <c r="D540" s="10" t="s">
        <v>1131</v>
      </c>
      <c r="E540" s="11" t="s">
        <v>2189</v>
      </c>
      <c r="F540" s="12" t="s">
        <v>3282</v>
      </c>
      <c r="G540" s="12" t="s">
        <v>3283</v>
      </c>
    </row>
    <row r="541" spans="1:7" ht="36" x14ac:dyDescent="0.25">
      <c r="A541" s="13" t="s">
        <v>3123</v>
      </c>
      <c r="B541" s="14" t="s">
        <v>1506</v>
      </c>
      <c r="C541" s="32" t="s">
        <v>555</v>
      </c>
      <c r="D541" s="14" t="s">
        <v>1575</v>
      </c>
      <c r="E541" s="15" t="s">
        <v>2189</v>
      </c>
      <c r="F541" s="16" t="s">
        <v>3284</v>
      </c>
      <c r="G541" s="16" t="s">
        <v>3285</v>
      </c>
    </row>
    <row r="542" spans="1:7" ht="24" x14ac:dyDescent="0.25">
      <c r="A542" s="9" t="s">
        <v>3123</v>
      </c>
      <c r="B542" s="10" t="s">
        <v>1506</v>
      </c>
      <c r="C542" s="31" t="s">
        <v>556</v>
      </c>
      <c r="D542" s="10" t="s">
        <v>1576</v>
      </c>
      <c r="E542" s="11" t="s">
        <v>2189</v>
      </c>
      <c r="F542" s="12" t="s">
        <v>3286</v>
      </c>
      <c r="G542" s="12" t="s">
        <v>3287</v>
      </c>
    </row>
    <row r="543" spans="1:7" ht="24" x14ac:dyDescent="0.25">
      <c r="A543" s="13" t="s">
        <v>3123</v>
      </c>
      <c r="B543" s="14" t="s">
        <v>1506</v>
      </c>
      <c r="C543" s="32" t="s">
        <v>557</v>
      </c>
      <c r="D543" s="14" t="s">
        <v>1577</v>
      </c>
      <c r="E543" s="15" t="s">
        <v>2189</v>
      </c>
      <c r="F543" s="16" t="s">
        <v>3288</v>
      </c>
      <c r="G543" s="16" t="s">
        <v>3289</v>
      </c>
    </row>
    <row r="544" spans="1:7" ht="24" x14ac:dyDescent="0.25">
      <c r="A544" s="9" t="s">
        <v>3123</v>
      </c>
      <c r="B544" s="10" t="s">
        <v>1506</v>
      </c>
      <c r="C544" s="31" t="s">
        <v>558</v>
      </c>
      <c r="D544" s="10" t="s">
        <v>1578</v>
      </c>
      <c r="E544" s="11" t="s">
        <v>2189</v>
      </c>
      <c r="F544" s="12" t="s">
        <v>3290</v>
      </c>
      <c r="G544" s="12" t="s">
        <v>3291</v>
      </c>
    </row>
    <row r="545" spans="1:7" ht="24" x14ac:dyDescent="0.25">
      <c r="A545" s="13" t="s">
        <v>3123</v>
      </c>
      <c r="B545" s="14" t="s">
        <v>1506</v>
      </c>
      <c r="C545" s="32" t="s">
        <v>559</v>
      </c>
      <c r="D545" s="14" t="s">
        <v>1579</v>
      </c>
      <c r="E545" s="15" t="s">
        <v>2189</v>
      </c>
      <c r="F545" s="16" t="s">
        <v>3292</v>
      </c>
      <c r="G545" s="16" t="s">
        <v>3293</v>
      </c>
    </row>
    <row r="546" spans="1:7" ht="24" x14ac:dyDescent="0.25">
      <c r="A546" s="9" t="s">
        <v>3123</v>
      </c>
      <c r="B546" s="10" t="s">
        <v>1506</v>
      </c>
      <c r="C546" s="31" t="s">
        <v>560</v>
      </c>
      <c r="D546" s="10" t="s">
        <v>1580</v>
      </c>
      <c r="E546" s="11" t="s">
        <v>2189</v>
      </c>
      <c r="F546" s="12" t="s">
        <v>3294</v>
      </c>
      <c r="G546" s="12" t="s">
        <v>3295</v>
      </c>
    </row>
    <row r="547" spans="1:7" ht="24" x14ac:dyDescent="0.25">
      <c r="A547" s="13" t="s">
        <v>3123</v>
      </c>
      <c r="B547" s="14" t="s">
        <v>1506</v>
      </c>
      <c r="C547" s="32" t="s">
        <v>561</v>
      </c>
      <c r="D547" s="14" t="s">
        <v>1581</v>
      </c>
      <c r="E547" s="15" t="s">
        <v>2189</v>
      </c>
      <c r="F547" s="16" t="s">
        <v>3296</v>
      </c>
      <c r="G547" s="16" t="s">
        <v>3297</v>
      </c>
    </row>
    <row r="548" spans="1:7" ht="24" x14ac:dyDescent="0.25">
      <c r="A548" s="9" t="s">
        <v>3123</v>
      </c>
      <c r="B548" s="10" t="s">
        <v>1506</v>
      </c>
      <c r="C548" s="31" t="s">
        <v>562</v>
      </c>
      <c r="D548" s="10" t="s">
        <v>1582</v>
      </c>
      <c r="E548" s="11" t="s">
        <v>2189</v>
      </c>
      <c r="F548" s="12" t="s">
        <v>3298</v>
      </c>
      <c r="G548" s="12" t="s">
        <v>3299</v>
      </c>
    </row>
    <row r="549" spans="1:7" ht="24" x14ac:dyDescent="0.25">
      <c r="A549" s="13" t="s">
        <v>3123</v>
      </c>
      <c r="B549" s="14" t="s">
        <v>1506</v>
      </c>
      <c r="C549" s="32" t="s">
        <v>563</v>
      </c>
      <c r="D549" s="14" t="s">
        <v>1583</v>
      </c>
      <c r="E549" s="15" t="s">
        <v>2189</v>
      </c>
      <c r="F549" s="16" t="s">
        <v>3300</v>
      </c>
      <c r="G549" s="16" t="s">
        <v>3301</v>
      </c>
    </row>
    <row r="550" spans="1:7" ht="24" x14ac:dyDescent="0.25">
      <c r="A550" s="9" t="s">
        <v>3123</v>
      </c>
      <c r="B550" s="10" t="s">
        <v>1506</v>
      </c>
      <c r="C550" s="31" t="s">
        <v>564</v>
      </c>
      <c r="D550" s="10" t="s">
        <v>1584</v>
      </c>
      <c r="E550" s="11" t="s">
        <v>2189</v>
      </c>
      <c r="F550" s="12" t="s">
        <v>3302</v>
      </c>
      <c r="G550" s="12" t="s">
        <v>3303</v>
      </c>
    </row>
    <row r="551" spans="1:7" ht="24" x14ac:dyDescent="0.25">
      <c r="A551" s="13" t="s">
        <v>3123</v>
      </c>
      <c r="B551" s="14" t="s">
        <v>1506</v>
      </c>
      <c r="C551" s="32" t="s">
        <v>565</v>
      </c>
      <c r="D551" s="14" t="s">
        <v>1585</v>
      </c>
      <c r="E551" s="15" t="s">
        <v>2189</v>
      </c>
      <c r="F551" s="16" t="s">
        <v>3304</v>
      </c>
      <c r="G551" s="16" t="s">
        <v>3305</v>
      </c>
    </row>
    <row r="552" spans="1:7" ht="24" x14ac:dyDescent="0.25">
      <c r="A552" s="9" t="s">
        <v>3123</v>
      </c>
      <c r="B552" s="10" t="s">
        <v>1506</v>
      </c>
      <c r="C552" s="31" t="s">
        <v>566</v>
      </c>
      <c r="D552" s="10" t="s">
        <v>1586</v>
      </c>
      <c r="E552" s="11" t="s">
        <v>2189</v>
      </c>
      <c r="F552" s="12" t="s">
        <v>3306</v>
      </c>
      <c r="G552" s="12" t="s">
        <v>3307</v>
      </c>
    </row>
    <row r="553" spans="1:7" ht="24" x14ac:dyDescent="0.25">
      <c r="A553" s="13" t="s">
        <v>3123</v>
      </c>
      <c r="B553" s="14" t="s">
        <v>1506</v>
      </c>
      <c r="C553" s="32" t="s">
        <v>567</v>
      </c>
      <c r="D553" s="14" t="s">
        <v>1587</v>
      </c>
      <c r="E553" s="15" t="s">
        <v>2189</v>
      </c>
      <c r="F553" s="16" t="s">
        <v>3308</v>
      </c>
      <c r="G553" s="16" t="s">
        <v>3309</v>
      </c>
    </row>
    <row r="554" spans="1:7" ht="24" x14ac:dyDescent="0.25">
      <c r="A554" s="9" t="s">
        <v>3123</v>
      </c>
      <c r="B554" s="10" t="s">
        <v>1506</v>
      </c>
      <c r="C554" s="31" t="s">
        <v>568</v>
      </c>
      <c r="D554" s="10" t="s">
        <v>1588</v>
      </c>
      <c r="E554" s="11" t="s">
        <v>2189</v>
      </c>
      <c r="F554" s="12" t="s">
        <v>3310</v>
      </c>
      <c r="G554" s="12" t="s">
        <v>3311</v>
      </c>
    </row>
    <row r="555" spans="1:7" ht="24" x14ac:dyDescent="0.25">
      <c r="A555" s="13" t="s">
        <v>3123</v>
      </c>
      <c r="B555" s="14" t="s">
        <v>1506</v>
      </c>
      <c r="C555" s="32" t="s">
        <v>569</v>
      </c>
      <c r="D555" s="14" t="s">
        <v>1589</v>
      </c>
      <c r="E555" s="15" t="s">
        <v>2189</v>
      </c>
      <c r="F555" s="16" t="s">
        <v>3312</v>
      </c>
      <c r="G555" s="16" t="s">
        <v>3313</v>
      </c>
    </row>
    <row r="556" spans="1:7" ht="24" x14ac:dyDescent="0.25">
      <c r="A556" s="9" t="s">
        <v>3123</v>
      </c>
      <c r="B556" s="10" t="s">
        <v>1506</v>
      </c>
      <c r="C556" s="31" t="s">
        <v>570</v>
      </c>
      <c r="D556" s="10" t="s">
        <v>1590</v>
      </c>
      <c r="E556" s="11" t="s">
        <v>2189</v>
      </c>
      <c r="F556" s="12" t="s">
        <v>3314</v>
      </c>
      <c r="G556" s="12" t="s">
        <v>3315</v>
      </c>
    </row>
    <row r="557" spans="1:7" ht="24" x14ac:dyDescent="0.25">
      <c r="A557" s="13" t="s">
        <v>3123</v>
      </c>
      <c r="B557" s="14" t="s">
        <v>1506</v>
      </c>
      <c r="C557" s="32" t="s">
        <v>571</v>
      </c>
      <c r="D557" s="14" t="s">
        <v>1591</v>
      </c>
      <c r="E557" s="15" t="s">
        <v>2189</v>
      </c>
      <c r="F557" s="16" t="s">
        <v>3316</v>
      </c>
      <c r="G557" s="16" t="s">
        <v>3317</v>
      </c>
    </row>
    <row r="558" spans="1:7" ht="24" x14ac:dyDescent="0.25">
      <c r="A558" s="9" t="s">
        <v>3123</v>
      </c>
      <c r="B558" s="10" t="s">
        <v>1506</v>
      </c>
      <c r="C558" s="31" t="s">
        <v>572</v>
      </c>
      <c r="D558" s="10" t="s">
        <v>1592</v>
      </c>
      <c r="E558" s="11" t="s">
        <v>2189</v>
      </c>
      <c r="F558" s="12" t="s">
        <v>3318</v>
      </c>
      <c r="G558" s="12" t="s">
        <v>3319</v>
      </c>
    </row>
    <row r="559" spans="1:7" ht="24" x14ac:dyDescent="0.25">
      <c r="A559" s="13" t="s">
        <v>3123</v>
      </c>
      <c r="B559" s="14" t="s">
        <v>1506</v>
      </c>
      <c r="C559" s="32" t="s">
        <v>2063</v>
      </c>
      <c r="D559" s="14" t="s">
        <v>2140</v>
      </c>
      <c r="E559" s="15" t="s">
        <v>2189</v>
      </c>
      <c r="F559" s="16" t="s">
        <v>3320</v>
      </c>
      <c r="G559" s="16" t="s">
        <v>3321</v>
      </c>
    </row>
    <row r="560" spans="1:7" ht="24" x14ac:dyDescent="0.25">
      <c r="A560" s="9" t="s">
        <v>3123</v>
      </c>
      <c r="B560" s="10" t="s">
        <v>1506</v>
      </c>
      <c r="C560" s="31" t="s">
        <v>573</v>
      </c>
      <c r="D560" s="10" t="s">
        <v>1593</v>
      </c>
      <c r="E560" s="11" t="s">
        <v>2189</v>
      </c>
      <c r="F560" s="12" t="s">
        <v>3322</v>
      </c>
      <c r="G560" s="12" t="s">
        <v>3323</v>
      </c>
    </row>
    <row r="561" spans="1:7" ht="24" x14ac:dyDescent="0.25">
      <c r="A561" s="13" t="s">
        <v>3123</v>
      </c>
      <c r="B561" s="14" t="s">
        <v>1506</v>
      </c>
      <c r="C561" s="32" t="s">
        <v>574</v>
      </c>
      <c r="D561" s="14" t="s">
        <v>1594</v>
      </c>
      <c r="E561" s="15" t="s">
        <v>2189</v>
      </c>
      <c r="F561" s="16" t="s">
        <v>3324</v>
      </c>
      <c r="G561" s="16" t="s">
        <v>3325</v>
      </c>
    </row>
    <row r="562" spans="1:7" ht="24" x14ac:dyDescent="0.25">
      <c r="A562" s="9" t="s">
        <v>3123</v>
      </c>
      <c r="B562" s="10" t="s">
        <v>1506</v>
      </c>
      <c r="C562" s="31" t="s">
        <v>2091</v>
      </c>
      <c r="D562" s="10" t="s">
        <v>2162</v>
      </c>
      <c r="E562" s="11" t="s">
        <v>2189</v>
      </c>
      <c r="F562" s="12" t="s">
        <v>3326</v>
      </c>
      <c r="G562" s="12" t="s">
        <v>3327</v>
      </c>
    </row>
    <row r="563" spans="1:7" ht="24" x14ac:dyDescent="0.25">
      <c r="A563" s="13" t="s">
        <v>3123</v>
      </c>
      <c r="B563" s="14" t="s">
        <v>1506</v>
      </c>
      <c r="C563" s="32" t="s">
        <v>575</v>
      </c>
      <c r="D563" s="14" t="s">
        <v>1595</v>
      </c>
      <c r="E563" s="15" t="s">
        <v>2189</v>
      </c>
      <c r="F563" s="16" t="s">
        <v>3328</v>
      </c>
      <c r="G563" s="16" t="s">
        <v>3329</v>
      </c>
    </row>
    <row r="564" spans="1:7" ht="24" x14ac:dyDescent="0.25">
      <c r="A564" s="9" t="s">
        <v>3123</v>
      </c>
      <c r="B564" s="10" t="s">
        <v>1506</v>
      </c>
      <c r="C564" s="31" t="s">
        <v>576</v>
      </c>
      <c r="D564" s="10" t="s">
        <v>1596</v>
      </c>
      <c r="E564" s="11" t="s">
        <v>2189</v>
      </c>
      <c r="F564" s="12" t="s">
        <v>3330</v>
      </c>
      <c r="G564" s="12" t="s">
        <v>3331</v>
      </c>
    </row>
    <row r="565" spans="1:7" ht="36" x14ac:dyDescent="0.25">
      <c r="A565" s="13" t="s">
        <v>3123</v>
      </c>
      <c r="B565" s="14" t="s">
        <v>1506</v>
      </c>
      <c r="C565" s="32" t="s">
        <v>577</v>
      </c>
      <c r="D565" s="14" t="s">
        <v>2030</v>
      </c>
      <c r="E565" s="15" t="s">
        <v>2189</v>
      </c>
      <c r="F565" s="16" t="s">
        <v>3332</v>
      </c>
      <c r="G565" s="16" t="s">
        <v>3333</v>
      </c>
    </row>
    <row r="566" spans="1:7" ht="24" x14ac:dyDescent="0.25">
      <c r="A566" s="9" t="s">
        <v>3123</v>
      </c>
      <c r="B566" s="10" t="s">
        <v>1506</v>
      </c>
      <c r="C566" s="31" t="s">
        <v>578</v>
      </c>
      <c r="D566" s="10" t="s">
        <v>1597</v>
      </c>
      <c r="E566" s="11" t="s">
        <v>2189</v>
      </c>
      <c r="F566" s="12" t="s">
        <v>3334</v>
      </c>
      <c r="G566" s="12" t="s">
        <v>3335</v>
      </c>
    </row>
    <row r="567" spans="1:7" ht="24" x14ac:dyDescent="0.25">
      <c r="A567" s="13" t="s">
        <v>3123</v>
      </c>
      <c r="B567" s="14" t="s">
        <v>1506</v>
      </c>
      <c r="C567" s="32" t="s">
        <v>579</v>
      </c>
      <c r="D567" s="14" t="s">
        <v>1598</v>
      </c>
      <c r="E567" s="15" t="s">
        <v>2189</v>
      </c>
      <c r="F567" s="16" t="s">
        <v>3336</v>
      </c>
      <c r="G567" s="16" t="s">
        <v>3337</v>
      </c>
    </row>
    <row r="568" spans="1:7" ht="24" x14ac:dyDescent="0.25">
      <c r="A568" s="9" t="s">
        <v>3123</v>
      </c>
      <c r="B568" s="10" t="s">
        <v>1506</v>
      </c>
      <c r="C568" s="31" t="s">
        <v>580</v>
      </c>
      <c r="D568" s="10" t="s">
        <v>1599</v>
      </c>
      <c r="E568" s="11" t="s">
        <v>2189</v>
      </c>
      <c r="F568" s="12" t="s">
        <v>3338</v>
      </c>
      <c r="G568" s="12" t="s">
        <v>3339</v>
      </c>
    </row>
    <row r="569" spans="1:7" ht="24" x14ac:dyDescent="0.25">
      <c r="A569" s="13" t="s">
        <v>3123</v>
      </c>
      <c r="B569" s="14" t="s">
        <v>1506</v>
      </c>
      <c r="C569" s="32" t="s">
        <v>581</v>
      </c>
      <c r="D569" s="14" t="s">
        <v>1600</v>
      </c>
      <c r="E569" s="15" t="s">
        <v>2189</v>
      </c>
      <c r="F569" s="16" t="s">
        <v>3340</v>
      </c>
      <c r="G569" s="16" t="s">
        <v>3341</v>
      </c>
    </row>
    <row r="570" spans="1:7" ht="24" x14ac:dyDescent="0.25">
      <c r="A570" s="9" t="s">
        <v>3123</v>
      </c>
      <c r="B570" s="10" t="s">
        <v>1506</v>
      </c>
      <c r="C570" s="31" t="s">
        <v>2092</v>
      </c>
      <c r="D570" s="10" t="s">
        <v>2163</v>
      </c>
      <c r="E570" s="11" t="s">
        <v>2189</v>
      </c>
      <c r="F570" s="12" t="s">
        <v>3342</v>
      </c>
      <c r="G570" s="12" t="s">
        <v>3343</v>
      </c>
    </row>
    <row r="571" spans="1:7" ht="24" x14ac:dyDescent="0.25">
      <c r="A571" s="13" t="s">
        <v>3123</v>
      </c>
      <c r="B571" s="14" t="s">
        <v>1506</v>
      </c>
      <c r="C571" s="32" t="s">
        <v>582</v>
      </c>
      <c r="D571" s="14" t="s">
        <v>1601</v>
      </c>
      <c r="E571" s="15" t="s">
        <v>2189</v>
      </c>
      <c r="F571" s="16" t="s">
        <v>3344</v>
      </c>
      <c r="G571" s="16" t="s">
        <v>3345</v>
      </c>
    </row>
    <row r="572" spans="1:7" ht="24" x14ac:dyDescent="0.25">
      <c r="A572" s="9" t="s">
        <v>3123</v>
      </c>
      <c r="B572" s="10" t="s">
        <v>1506</v>
      </c>
      <c r="C572" s="31" t="s">
        <v>583</v>
      </c>
      <c r="D572" s="10" t="s">
        <v>1602</v>
      </c>
      <c r="E572" s="11" t="s">
        <v>2189</v>
      </c>
      <c r="F572" s="12" t="s">
        <v>3346</v>
      </c>
      <c r="G572" s="12" t="s">
        <v>3347</v>
      </c>
    </row>
    <row r="573" spans="1:7" ht="24" x14ac:dyDescent="0.25">
      <c r="A573" s="13" t="s">
        <v>3123</v>
      </c>
      <c r="B573" s="14" t="s">
        <v>1506</v>
      </c>
      <c r="C573" s="32" t="s">
        <v>584</v>
      </c>
      <c r="D573" s="14" t="s">
        <v>1603</v>
      </c>
      <c r="E573" s="15" t="s">
        <v>2189</v>
      </c>
      <c r="F573" s="16" t="s">
        <v>3348</v>
      </c>
      <c r="G573" s="16" t="s">
        <v>3349</v>
      </c>
    </row>
    <row r="574" spans="1:7" ht="24" x14ac:dyDescent="0.25">
      <c r="A574" s="9" t="s">
        <v>3123</v>
      </c>
      <c r="B574" s="10" t="s">
        <v>1506</v>
      </c>
      <c r="C574" s="31" t="s">
        <v>585</v>
      </c>
      <c r="D574" s="10" t="s">
        <v>1604</v>
      </c>
      <c r="E574" s="11" t="s">
        <v>2189</v>
      </c>
      <c r="F574" s="12" t="s">
        <v>3350</v>
      </c>
      <c r="G574" s="12" t="s">
        <v>3351</v>
      </c>
    </row>
    <row r="575" spans="1:7" ht="24" x14ac:dyDescent="0.25">
      <c r="A575" s="13" t="s">
        <v>3123</v>
      </c>
      <c r="B575" s="14" t="s">
        <v>1506</v>
      </c>
      <c r="C575" s="32" t="s">
        <v>586</v>
      </c>
      <c r="D575" s="14" t="s">
        <v>1605</v>
      </c>
      <c r="E575" s="15" t="s">
        <v>2189</v>
      </c>
      <c r="F575" s="16" t="s">
        <v>3352</v>
      </c>
      <c r="G575" s="16" t="s">
        <v>3353</v>
      </c>
    </row>
    <row r="576" spans="1:7" ht="24" x14ac:dyDescent="0.25">
      <c r="A576" s="9" t="s">
        <v>3123</v>
      </c>
      <c r="B576" s="10" t="s">
        <v>1506</v>
      </c>
      <c r="C576" s="31" t="s">
        <v>2018</v>
      </c>
      <c r="D576" s="10" t="s">
        <v>1606</v>
      </c>
      <c r="E576" s="11" t="s">
        <v>2189</v>
      </c>
      <c r="F576" s="12" t="s">
        <v>3354</v>
      </c>
      <c r="G576" s="12" t="s">
        <v>3355</v>
      </c>
    </row>
    <row r="577" spans="1:7" x14ac:dyDescent="0.25">
      <c r="A577" s="13" t="s">
        <v>3356</v>
      </c>
      <c r="B577" s="14" t="s">
        <v>1454</v>
      </c>
      <c r="C577" s="32" t="s">
        <v>426</v>
      </c>
      <c r="D577" s="14" t="s">
        <v>1455</v>
      </c>
      <c r="E577" s="15" t="s">
        <v>2189</v>
      </c>
      <c r="F577" s="16" t="s">
        <v>3357</v>
      </c>
      <c r="G577" s="16" t="s">
        <v>3358</v>
      </c>
    </row>
    <row r="578" spans="1:7" x14ac:dyDescent="0.25">
      <c r="A578" s="9" t="s">
        <v>3356</v>
      </c>
      <c r="B578" s="10" t="s">
        <v>1454</v>
      </c>
      <c r="C578" s="31" t="s">
        <v>427</v>
      </c>
      <c r="D578" s="10" t="s">
        <v>1456</v>
      </c>
      <c r="E578" s="11" t="s">
        <v>2189</v>
      </c>
      <c r="F578" s="12" t="s">
        <v>3359</v>
      </c>
      <c r="G578" s="12" t="s">
        <v>3360</v>
      </c>
    </row>
    <row r="579" spans="1:7" ht="24" x14ac:dyDescent="0.25">
      <c r="A579" s="13" t="s">
        <v>3356</v>
      </c>
      <c r="B579" s="14" t="s">
        <v>1454</v>
      </c>
      <c r="C579" s="32" t="s">
        <v>428</v>
      </c>
      <c r="D579" s="14" t="s">
        <v>1457</v>
      </c>
      <c r="E579" s="15" t="s">
        <v>2189</v>
      </c>
      <c r="F579" s="16" t="s">
        <v>3361</v>
      </c>
      <c r="G579" s="16" t="s">
        <v>3362</v>
      </c>
    </row>
    <row r="580" spans="1:7" x14ac:dyDescent="0.25">
      <c r="A580" s="9" t="s">
        <v>3356</v>
      </c>
      <c r="B580" s="10" t="s">
        <v>1454</v>
      </c>
      <c r="C580" s="31" t="s">
        <v>429</v>
      </c>
      <c r="D580" s="10" t="s">
        <v>1458</v>
      </c>
      <c r="E580" s="11" t="s">
        <v>2189</v>
      </c>
      <c r="F580" s="12" t="s">
        <v>3363</v>
      </c>
      <c r="G580" s="12" t="s">
        <v>3364</v>
      </c>
    </row>
    <row r="581" spans="1:7" x14ac:dyDescent="0.25">
      <c r="A581" s="13" t="s">
        <v>3356</v>
      </c>
      <c r="B581" s="14" t="s">
        <v>1454</v>
      </c>
      <c r="C581" s="32" t="s">
        <v>430</v>
      </c>
      <c r="D581" s="14" t="s">
        <v>1459</v>
      </c>
      <c r="E581" s="15" t="s">
        <v>2189</v>
      </c>
      <c r="F581" s="16" t="s">
        <v>3365</v>
      </c>
      <c r="G581" s="16" t="s">
        <v>3366</v>
      </c>
    </row>
    <row r="582" spans="1:7" ht="24" x14ac:dyDescent="0.25">
      <c r="A582" s="9" t="s">
        <v>3356</v>
      </c>
      <c r="B582" s="10" t="s">
        <v>1454</v>
      </c>
      <c r="C582" s="31" t="s">
        <v>431</v>
      </c>
      <c r="D582" s="10" t="s">
        <v>1460</v>
      </c>
      <c r="E582" s="11" t="s">
        <v>2189</v>
      </c>
      <c r="F582" s="12" t="s">
        <v>3367</v>
      </c>
      <c r="G582" s="12" t="s">
        <v>3368</v>
      </c>
    </row>
    <row r="583" spans="1:7" ht="24" x14ac:dyDescent="0.25">
      <c r="A583" s="13" t="s">
        <v>3356</v>
      </c>
      <c r="B583" s="14" t="s">
        <v>1454</v>
      </c>
      <c r="C583" s="32" t="s">
        <v>432</v>
      </c>
      <c r="D583" s="14" t="s">
        <v>1461</v>
      </c>
      <c r="E583" s="15" t="s">
        <v>2189</v>
      </c>
      <c r="F583" s="16" t="s">
        <v>3369</v>
      </c>
      <c r="G583" s="16" t="s">
        <v>3370</v>
      </c>
    </row>
    <row r="584" spans="1:7" x14ac:dyDescent="0.25">
      <c r="A584" s="9" t="s">
        <v>3356</v>
      </c>
      <c r="B584" s="10" t="s">
        <v>1454</v>
      </c>
      <c r="C584" s="31" t="s">
        <v>433</v>
      </c>
      <c r="D584" s="10" t="s">
        <v>1462</v>
      </c>
      <c r="E584" s="11" t="s">
        <v>2189</v>
      </c>
      <c r="F584" s="12" t="s">
        <v>3371</v>
      </c>
      <c r="G584" s="12" t="s">
        <v>3372</v>
      </c>
    </row>
    <row r="585" spans="1:7" ht="36" x14ac:dyDescent="0.25">
      <c r="A585" s="13" t="s">
        <v>3356</v>
      </c>
      <c r="B585" s="14" t="s">
        <v>1454</v>
      </c>
      <c r="C585" s="32" t="s">
        <v>434</v>
      </c>
      <c r="D585" s="14" t="s">
        <v>2028</v>
      </c>
      <c r="E585" s="15" t="s">
        <v>2189</v>
      </c>
      <c r="F585" s="16" t="s">
        <v>3373</v>
      </c>
      <c r="G585" s="16" t="s">
        <v>3374</v>
      </c>
    </row>
    <row r="586" spans="1:7" ht="24" x14ac:dyDescent="0.25">
      <c r="A586" s="9" t="s">
        <v>3356</v>
      </c>
      <c r="B586" s="10" t="s">
        <v>1454</v>
      </c>
      <c r="C586" s="31" t="s">
        <v>435</v>
      </c>
      <c r="D586" s="10" t="s">
        <v>1463</v>
      </c>
      <c r="E586" s="11" t="s">
        <v>2189</v>
      </c>
      <c r="F586" s="12" t="s">
        <v>3375</v>
      </c>
      <c r="G586" s="12" t="s">
        <v>3376</v>
      </c>
    </row>
    <row r="587" spans="1:7" x14ac:dyDescent="0.25">
      <c r="A587" s="13" t="s">
        <v>3356</v>
      </c>
      <c r="B587" s="14" t="s">
        <v>1454</v>
      </c>
      <c r="C587" s="32" t="s">
        <v>436</v>
      </c>
      <c r="D587" s="14" t="s">
        <v>1464</v>
      </c>
      <c r="E587" s="15" t="s">
        <v>2189</v>
      </c>
      <c r="F587" s="16" t="s">
        <v>3377</v>
      </c>
      <c r="G587" s="16" t="s">
        <v>3378</v>
      </c>
    </row>
    <row r="588" spans="1:7" x14ac:dyDescent="0.25">
      <c r="A588" s="9" t="s">
        <v>3356</v>
      </c>
      <c r="B588" s="10" t="s">
        <v>1454</v>
      </c>
      <c r="C588" s="31" t="s">
        <v>437</v>
      </c>
      <c r="D588" s="10" t="s">
        <v>1465</v>
      </c>
      <c r="E588" s="11" t="s">
        <v>2189</v>
      </c>
      <c r="F588" s="12" t="s">
        <v>3379</v>
      </c>
      <c r="G588" s="12" t="s">
        <v>3380</v>
      </c>
    </row>
    <row r="589" spans="1:7" ht="24" x14ac:dyDescent="0.25">
      <c r="A589" s="13" t="s">
        <v>3356</v>
      </c>
      <c r="B589" s="14" t="s">
        <v>1454</v>
      </c>
      <c r="C589" s="32" t="s">
        <v>438</v>
      </c>
      <c r="D589" s="14" t="s">
        <v>1466</v>
      </c>
      <c r="E589" s="15" t="s">
        <v>2189</v>
      </c>
      <c r="F589" s="16" t="s">
        <v>3381</v>
      </c>
      <c r="G589" s="16" t="s">
        <v>3382</v>
      </c>
    </row>
    <row r="590" spans="1:7" ht="36" x14ac:dyDescent="0.25">
      <c r="A590" s="9" t="s">
        <v>3356</v>
      </c>
      <c r="B590" s="10" t="s">
        <v>1454</v>
      </c>
      <c r="C590" s="31" t="s">
        <v>439</v>
      </c>
      <c r="D590" s="10" t="s">
        <v>2029</v>
      </c>
      <c r="E590" s="11" t="s">
        <v>2189</v>
      </c>
      <c r="F590" s="12" t="s">
        <v>3383</v>
      </c>
      <c r="G590" s="12" t="s">
        <v>3384</v>
      </c>
    </row>
    <row r="591" spans="1:7" x14ac:dyDescent="0.25">
      <c r="A591" s="13" t="s">
        <v>3356</v>
      </c>
      <c r="B591" s="14" t="s">
        <v>1454</v>
      </c>
      <c r="C591" s="32" t="s">
        <v>440</v>
      </c>
      <c r="D591" s="14" t="s">
        <v>1467</v>
      </c>
      <c r="E591" s="15" t="s">
        <v>2189</v>
      </c>
      <c r="F591" s="16" t="s">
        <v>3385</v>
      </c>
      <c r="G591" s="16" t="s">
        <v>3386</v>
      </c>
    </row>
    <row r="592" spans="1:7" x14ac:dyDescent="0.25">
      <c r="A592" s="9" t="s">
        <v>3356</v>
      </c>
      <c r="B592" s="10" t="s">
        <v>1454</v>
      </c>
      <c r="C592" s="31" t="s">
        <v>2054</v>
      </c>
      <c r="D592" s="10" t="s">
        <v>2131</v>
      </c>
      <c r="E592" s="11" t="s">
        <v>2189</v>
      </c>
      <c r="F592" s="12" t="s">
        <v>3387</v>
      </c>
      <c r="G592" s="12" t="s">
        <v>3388</v>
      </c>
    </row>
    <row r="593" spans="1:7" x14ac:dyDescent="0.25">
      <c r="A593" s="13" t="s">
        <v>3356</v>
      </c>
      <c r="B593" s="14" t="s">
        <v>1454</v>
      </c>
      <c r="C593" s="32" t="s">
        <v>441</v>
      </c>
      <c r="D593" s="14" t="s">
        <v>1468</v>
      </c>
      <c r="E593" s="15" t="s">
        <v>2189</v>
      </c>
      <c r="F593" s="16" t="s">
        <v>3389</v>
      </c>
      <c r="G593" s="16" t="s">
        <v>3390</v>
      </c>
    </row>
    <row r="594" spans="1:7" ht="24" x14ac:dyDescent="0.25">
      <c r="A594" s="9" t="s">
        <v>3356</v>
      </c>
      <c r="B594" s="10" t="s">
        <v>1454</v>
      </c>
      <c r="C594" s="31" t="s">
        <v>2040</v>
      </c>
      <c r="D594" s="10" t="s">
        <v>2118</v>
      </c>
      <c r="E594" s="11" t="s">
        <v>2189</v>
      </c>
      <c r="F594" s="12" t="s">
        <v>3391</v>
      </c>
      <c r="G594" s="12" t="s">
        <v>3392</v>
      </c>
    </row>
    <row r="595" spans="1:7" ht="24" x14ac:dyDescent="0.25">
      <c r="A595" s="13" t="s">
        <v>3356</v>
      </c>
      <c r="B595" s="14" t="s">
        <v>1454</v>
      </c>
      <c r="C595" s="32" t="s">
        <v>442</v>
      </c>
      <c r="D595" s="14" t="s">
        <v>1469</v>
      </c>
      <c r="E595" s="15" t="s">
        <v>2189</v>
      </c>
      <c r="F595" s="16" t="s">
        <v>3393</v>
      </c>
      <c r="G595" s="16" t="s">
        <v>3394</v>
      </c>
    </row>
    <row r="596" spans="1:7" ht="24" x14ac:dyDescent="0.25">
      <c r="A596" s="9" t="s">
        <v>3356</v>
      </c>
      <c r="B596" s="10" t="s">
        <v>1454</v>
      </c>
      <c r="C596" s="31" t="s">
        <v>443</v>
      </c>
      <c r="D596" s="10" t="s">
        <v>1470</v>
      </c>
      <c r="E596" s="11" t="s">
        <v>2189</v>
      </c>
      <c r="F596" s="12" t="s">
        <v>3395</v>
      </c>
      <c r="G596" s="12" t="s">
        <v>3396</v>
      </c>
    </row>
    <row r="597" spans="1:7" x14ac:dyDescent="0.25">
      <c r="A597" s="13" t="s">
        <v>3356</v>
      </c>
      <c r="B597" s="14" t="s">
        <v>1454</v>
      </c>
      <c r="C597" s="32" t="s">
        <v>444</v>
      </c>
      <c r="D597" s="14" t="s">
        <v>1471</v>
      </c>
      <c r="E597" s="15" t="s">
        <v>2189</v>
      </c>
      <c r="F597" s="16" t="s">
        <v>3397</v>
      </c>
      <c r="G597" s="16" t="s">
        <v>3398</v>
      </c>
    </row>
    <row r="598" spans="1:7" ht="36" x14ac:dyDescent="0.25">
      <c r="A598" s="9" t="s">
        <v>3356</v>
      </c>
      <c r="B598" s="10" t="s">
        <v>1454</v>
      </c>
      <c r="C598" s="31" t="s">
        <v>2039</v>
      </c>
      <c r="D598" s="10" t="s">
        <v>3399</v>
      </c>
      <c r="E598" s="11" t="s">
        <v>2189</v>
      </c>
      <c r="F598" s="12" t="s">
        <v>3400</v>
      </c>
      <c r="G598" s="12" t="s">
        <v>3401</v>
      </c>
    </row>
    <row r="599" spans="1:7" x14ac:dyDescent="0.25">
      <c r="A599" s="13" t="s">
        <v>3356</v>
      </c>
      <c r="B599" s="14" t="s">
        <v>1454</v>
      </c>
      <c r="C599" s="32" t="s">
        <v>445</v>
      </c>
      <c r="D599" s="14" t="s">
        <v>1472</v>
      </c>
      <c r="E599" s="15" t="s">
        <v>2189</v>
      </c>
      <c r="F599" s="16" t="s">
        <v>3402</v>
      </c>
      <c r="G599" s="16" t="s">
        <v>3403</v>
      </c>
    </row>
    <row r="600" spans="1:7" x14ac:dyDescent="0.25">
      <c r="A600" s="9" t="s">
        <v>3356</v>
      </c>
      <c r="B600" s="10" t="s">
        <v>1454</v>
      </c>
      <c r="C600" s="31" t="s">
        <v>446</v>
      </c>
      <c r="D600" s="10" t="s">
        <v>1473</v>
      </c>
      <c r="E600" s="11" t="s">
        <v>2189</v>
      </c>
      <c r="F600" s="12" t="s">
        <v>3404</v>
      </c>
      <c r="G600" s="12" t="s">
        <v>3405</v>
      </c>
    </row>
    <row r="601" spans="1:7" x14ac:dyDescent="0.25">
      <c r="A601" s="13" t="s">
        <v>3356</v>
      </c>
      <c r="B601" s="14" t="s">
        <v>1454</v>
      </c>
      <c r="C601" s="32" t="s">
        <v>447</v>
      </c>
      <c r="D601" s="14" t="s">
        <v>1474</v>
      </c>
      <c r="E601" s="15" t="s">
        <v>2189</v>
      </c>
      <c r="F601" s="16" t="s">
        <v>3406</v>
      </c>
      <c r="G601" s="16" t="s">
        <v>3407</v>
      </c>
    </row>
    <row r="602" spans="1:7" x14ac:dyDescent="0.25">
      <c r="A602" s="9" t="s">
        <v>3356</v>
      </c>
      <c r="B602" s="10" t="s">
        <v>1454</v>
      </c>
      <c r="C602" s="31" t="s">
        <v>448</v>
      </c>
      <c r="D602" s="10" t="s">
        <v>1355</v>
      </c>
      <c r="E602" s="11" t="s">
        <v>2189</v>
      </c>
      <c r="F602" s="12" t="s">
        <v>3408</v>
      </c>
      <c r="G602" s="12" t="s">
        <v>3409</v>
      </c>
    </row>
    <row r="603" spans="1:7" ht="36" x14ac:dyDescent="0.25">
      <c r="A603" s="13" t="s">
        <v>3356</v>
      </c>
      <c r="B603" s="14" t="s">
        <v>1454</v>
      </c>
      <c r="C603" s="32" t="s">
        <v>2045</v>
      </c>
      <c r="D603" s="14" t="s">
        <v>2122</v>
      </c>
      <c r="E603" s="15" t="s">
        <v>2189</v>
      </c>
      <c r="F603" s="16" t="s">
        <v>3410</v>
      </c>
      <c r="G603" s="16" t="s">
        <v>3411</v>
      </c>
    </row>
    <row r="604" spans="1:7" x14ac:dyDescent="0.25">
      <c r="A604" s="9" t="s">
        <v>3356</v>
      </c>
      <c r="B604" s="10" t="s">
        <v>1454</v>
      </c>
      <c r="C604" s="31" t="s">
        <v>2041</v>
      </c>
      <c r="D604" s="10" t="s">
        <v>2119</v>
      </c>
      <c r="E604" s="11" t="s">
        <v>2189</v>
      </c>
      <c r="F604" s="12" t="s">
        <v>3412</v>
      </c>
      <c r="G604" s="12" t="s">
        <v>3413</v>
      </c>
    </row>
    <row r="605" spans="1:7" x14ac:dyDescent="0.25">
      <c r="A605" s="13" t="s">
        <v>3356</v>
      </c>
      <c r="B605" s="14" t="s">
        <v>1454</v>
      </c>
      <c r="C605" s="32" t="s">
        <v>449</v>
      </c>
      <c r="D605" s="14" t="s">
        <v>1475</v>
      </c>
      <c r="E605" s="15" t="s">
        <v>2189</v>
      </c>
      <c r="F605" s="16" t="s">
        <v>3414</v>
      </c>
      <c r="G605" s="16" t="s">
        <v>3415</v>
      </c>
    </row>
    <row r="606" spans="1:7" x14ac:dyDescent="0.25">
      <c r="A606" s="9" t="s">
        <v>3356</v>
      </c>
      <c r="B606" s="10" t="s">
        <v>1454</v>
      </c>
      <c r="C606" s="31" t="s">
        <v>450</v>
      </c>
      <c r="D606" s="10" t="s">
        <v>1476</v>
      </c>
      <c r="E606" s="11" t="s">
        <v>2189</v>
      </c>
      <c r="F606" s="12" t="s">
        <v>3416</v>
      </c>
      <c r="G606" s="12" t="s">
        <v>3417</v>
      </c>
    </row>
    <row r="607" spans="1:7" ht="36" x14ac:dyDescent="0.25">
      <c r="A607" s="13" t="s">
        <v>3356</v>
      </c>
      <c r="B607" s="14" t="s">
        <v>1454</v>
      </c>
      <c r="C607" s="32" t="s">
        <v>451</v>
      </c>
      <c r="D607" s="14" t="s">
        <v>1477</v>
      </c>
      <c r="E607" s="15" t="s">
        <v>2189</v>
      </c>
      <c r="F607" s="16" t="s">
        <v>3418</v>
      </c>
      <c r="G607" s="16" t="s">
        <v>3419</v>
      </c>
    </row>
    <row r="608" spans="1:7" x14ac:dyDescent="0.25">
      <c r="A608" s="9" t="s">
        <v>3420</v>
      </c>
      <c r="B608" s="10" t="s">
        <v>1613</v>
      </c>
      <c r="C608" s="31" t="s">
        <v>595</v>
      </c>
      <c r="D608" s="10" t="s">
        <v>1614</v>
      </c>
      <c r="E608" s="11" t="s">
        <v>2189</v>
      </c>
      <c r="F608" s="12" t="s">
        <v>3421</v>
      </c>
      <c r="G608" s="12" t="s">
        <v>3422</v>
      </c>
    </row>
    <row r="609" spans="1:7" x14ac:dyDescent="0.25">
      <c r="A609" s="13" t="s">
        <v>3420</v>
      </c>
      <c r="B609" s="14" t="s">
        <v>1613</v>
      </c>
      <c r="C609" s="32" t="s">
        <v>596</v>
      </c>
      <c r="D609" s="14" t="s">
        <v>1615</v>
      </c>
      <c r="E609" s="15" t="s">
        <v>2189</v>
      </c>
      <c r="F609" s="16" t="s">
        <v>3423</v>
      </c>
      <c r="G609" s="16" t="s">
        <v>3424</v>
      </c>
    </row>
    <row r="610" spans="1:7" x14ac:dyDescent="0.25">
      <c r="A610" s="9" t="s">
        <v>3420</v>
      </c>
      <c r="B610" s="10" t="s">
        <v>1613</v>
      </c>
      <c r="C610" s="31" t="s">
        <v>597</v>
      </c>
      <c r="D610" s="10" t="s">
        <v>1616</v>
      </c>
      <c r="E610" s="11" t="s">
        <v>2189</v>
      </c>
      <c r="F610" s="12" t="s">
        <v>3425</v>
      </c>
      <c r="G610" s="12" t="s">
        <v>3426</v>
      </c>
    </row>
    <row r="611" spans="1:7" x14ac:dyDescent="0.25">
      <c r="A611" s="13" t="s">
        <v>3420</v>
      </c>
      <c r="B611" s="14" t="s">
        <v>1613</v>
      </c>
      <c r="C611" s="32" t="s">
        <v>598</v>
      </c>
      <c r="D611" s="14" t="s">
        <v>1617</v>
      </c>
      <c r="E611" s="15" t="s">
        <v>2189</v>
      </c>
      <c r="F611" s="16" t="s">
        <v>3427</v>
      </c>
      <c r="G611" s="16" t="s">
        <v>3428</v>
      </c>
    </row>
    <row r="612" spans="1:7" x14ac:dyDescent="0.25">
      <c r="A612" s="9" t="s">
        <v>3420</v>
      </c>
      <c r="B612" s="10" t="s">
        <v>1613</v>
      </c>
      <c r="C612" s="31" t="s">
        <v>599</v>
      </c>
      <c r="D612" s="10" t="s">
        <v>1618</v>
      </c>
      <c r="E612" s="11" t="s">
        <v>2189</v>
      </c>
      <c r="F612" s="12" t="s">
        <v>3429</v>
      </c>
      <c r="G612" s="12" t="s">
        <v>3430</v>
      </c>
    </row>
    <row r="613" spans="1:7" x14ac:dyDescent="0.25">
      <c r="A613" s="13" t="s">
        <v>3420</v>
      </c>
      <c r="B613" s="14" t="s">
        <v>1613</v>
      </c>
      <c r="C613" s="32" t="s">
        <v>600</v>
      </c>
      <c r="D613" s="14" t="s">
        <v>1619</v>
      </c>
      <c r="E613" s="15" t="s">
        <v>2189</v>
      </c>
      <c r="F613" s="16" t="s">
        <v>3431</v>
      </c>
      <c r="G613" s="16" t="s">
        <v>3432</v>
      </c>
    </row>
    <row r="614" spans="1:7" x14ac:dyDescent="0.25">
      <c r="A614" s="9" t="s">
        <v>3420</v>
      </c>
      <c r="B614" s="10" t="s">
        <v>1613</v>
      </c>
      <c r="C614" s="31" t="s">
        <v>601</v>
      </c>
      <c r="D614" s="10" t="s">
        <v>1620</v>
      </c>
      <c r="E614" s="11" t="s">
        <v>2189</v>
      </c>
      <c r="F614" s="12" t="s">
        <v>3433</v>
      </c>
      <c r="G614" s="12" t="s">
        <v>3434</v>
      </c>
    </row>
    <row r="615" spans="1:7" ht="24" x14ac:dyDescent="0.25">
      <c r="A615" s="13" t="s">
        <v>3420</v>
      </c>
      <c r="B615" s="14" t="s">
        <v>1613</v>
      </c>
      <c r="C615" s="32" t="s">
        <v>602</v>
      </c>
      <c r="D615" s="14" t="s">
        <v>1621</v>
      </c>
      <c r="E615" s="15" t="s">
        <v>2189</v>
      </c>
      <c r="F615" s="16" t="s">
        <v>3435</v>
      </c>
      <c r="G615" s="16" t="s">
        <v>3436</v>
      </c>
    </row>
    <row r="616" spans="1:7" x14ac:dyDescent="0.25">
      <c r="A616" s="9" t="s">
        <v>3420</v>
      </c>
      <c r="B616" s="10" t="s">
        <v>1613</v>
      </c>
      <c r="C616" s="31" t="s">
        <v>603</v>
      </c>
      <c r="D616" s="10" t="s">
        <v>1622</v>
      </c>
      <c r="E616" s="11" t="s">
        <v>2189</v>
      </c>
      <c r="F616" s="12" t="s">
        <v>3437</v>
      </c>
      <c r="G616" s="12" t="s">
        <v>3438</v>
      </c>
    </row>
    <row r="617" spans="1:7" x14ac:dyDescent="0.25">
      <c r="A617" s="13" t="s">
        <v>3420</v>
      </c>
      <c r="B617" s="14" t="s">
        <v>1613</v>
      </c>
      <c r="C617" s="32" t="s">
        <v>604</v>
      </c>
      <c r="D617" s="14" t="s">
        <v>1623</v>
      </c>
      <c r="E617" s="15" t="s">
        <v>2189</v>
      </c>
      <c r="F617" s="16" t="s">
        <v>3439</v>
      </c>
      <c r="G617" s="16" t="s">
        <v>3440</v>
      </c>
    </row>
    <row r="618" spans="1:7" x14ac:dyDescent="0.25">
      <c r="A618" s="9" t="s">
        <v>3420</v>
      </c>
      <c r="B618" s="10" t="s">
        <v>1613</v>
      </c>
      <c r="C618" s="31" t="s">
        <v>605</v>
      </c>
      <c r="D618" s="10" t="s">
        <v>1624</v>
      </c>
      <c r="E618" s="11" t="s">
        <v>2189</v>
      </c>
      <c r="F618" s="12" t="s">
        <v>3441</v>
      </c>
      <c r="G618" s="12" t="s">
        <v>3442</v>
      </c>
    </row>
    <row r="619" spans="1:7" x14ac:dyDescent="0.25">
      <c r="A619" s="13" t="s">
        <v>3420</v>
      </c>
      <c r="B619" s="14" t="s">
        <v>1613</v>
      </c>
      <c r="C619" s="32" t="s">
        <v>606</v>
      </c>
      <c r="D619" s="14" t="s">
        <v>1625</v>
      </c>
      <c r="E619" s="15" t="s">
        <v>2189</v>
      </c>
      <c r="F619" s="16" t="s">
        <v>3443</v>
      </c>
      <c r="G619" s="16" t="s">
        <v>3444</v>
      </c>
    </row>
    <row r="620" spans="1:7" x14ac:dyDescent="0.25">
      <c r="A620" s="9" t="s">
        <v>3420</v>
      </c>
      <c r="B620" s="10" t="s">
        <v>1613</v>
      </c>
      <c r="C620" s="31" t="s">
        <v>607</v>
      </c>
      <c r="D620" s="10" t="s">
        <v>1096</v>
      </c>
      <c r="E620" s="11" t="s">
        <v>2189</v>
      </c>
      <c r="F620" s="12" t="s">
        <v>3445</v>
      </c>
      <c r="G620" s="12" t="s">
        <v>3446</v>
      </c>
    </row>
    <row r="621" spans="1:7" x14ac:dyDescent="0.25">
      <c r="A621" s="13" t="s">
        <v>3420</v>
      </c>
      <c r="B621" s="14" t="s">
        <v>1613</v>
      </c>
      <c r="C621" s="32" t="s">
        <v>608</v>
      </c>
      <c r="D621" s="14" t="s">
        <v>1626</v>
      </c>
      <c r="E621" s="15" t="s">
        <v>2189</v>
      </c>
      <c r="F621" s="16" t="s">
        <v>3447</v>
      </c>
      <c r="G621" s="16" t="s">
        <v>3448</v>
      </c>
    </row>
    <row r="622" spans="1:7" x14ac:dyDescent="0.25">
      <c r="A622" s="9" t="s">
        <v>3420</v>
      </c>
      <c r="B622" s="10" t="s">
        <v>1613</v>
      </c>
      <c r="C622" s="31" t="s">
        <v>609</v>
      </c>
      <c r="D622" s="10" t="s">
        <v>1627</v>
      </c>
      <c r="E622" s="11" t="s">
        <v>2189</v>
      </c>
      <c r="F622" s="12" t="s">
        <v>3449</v>
      </c>
      <c r="G622" s="12" t="s">
        <v>3450</v>
      </c>
    </row>
    <row r="623" spans="1:7" x14ac:dyDescent="0.25">
      <c r="A623" s="13" t="s">
        <v>3420</v>
      </c>
      <c r="B623" s="14" t="s">
        <v>1613</v>
      </c>
      <c r="C623" s="32" t="s">
        <v>610</v>
      </c>
      <c r="D623" s="14" t="s">
        <v>1628</v>
      </c>
      <c r="E623" s="15" t="s">
        <v>2189</v>
      </c>
      <c r="F623" s="16" t="s">
        <v>3451</v>
      </c>
      <c r="G623" s="16" t="s">
        <v>3452</v>
      </c>
    </row>
    <row r="624" spans="1:7" ht="24" x14ac:dyDescent="0.25">
      <c r="A624" s="9" t="s">
        <v>3420</v>
      </c>
      <c r="B624" s="10" t="s">
        <v>1613</v>
      </c>
      <c r="C624" s="31" t="s">
        <v>611</v>
      </c>
      <c r="D624" s="10" t="s">
        <v>1629</v>
      </c>
      <c r="E624" s="11" t="s">
        <v>2189</v>
      </c>
      <c r="F624" s="12" t="s">
        <v>3453</v>
      </c>
      <c r="G624" s="12" t="s">
        <v>3454</v>
      </c>
    </row>
    <row r="625" spans="1:7" x14ac:dyDescent="0.25">
      <c r="A625" s="13" t="s">
        <v>3420</v>
      </c>
      <c r="B625" s="14" t="s">
        <v>1613</v>
      </c>
      <c r="C625" s="32" t="s">
        <v>612</v>
      </c>
      <c r="D625" s="14" t="s">
        <v>1630</v>
      </c>
      <c r="E625" s="15" t="s">
        <v>2189</v>
      </c>
      <c r="F625" s="16" t="s">
        <v>3455</v>
      </c>
      <c r="G625" s="16" t="s">
        <v>3456</v>
      </c>
    </row>
    <row r="626" spans="1:7" x14ac:dyDescent="0.25">
      <c r="A626" s="9" t="s">
        <v>3420</v>
      </c>
      <c r="B626" s="10" t="s">
        <v>1613</v>
      </c>
      <c r="C626" s="31" t="s">
        <v>613</v>
      </c>
      <c r="D626" s="10" t="s">
        <v>1631</v>
      </c>
      <c r="E626" s="11" t="s">
        <v>2189</v>
      </c>
      <c r="F626" s="12" t="s">
        <v>3457</v>
      </c>
      <c r="G626" s="12" t="s">
        <v>3458</v>
      </c>
    </row>
    <row r="627" spans="1:7" x14ac:dyDescent="0.25">
      <c r="A627" s="13" t="s">
        <v>3420</v>
      </c>
      <c r="B627" s="14" t="s">
        <v>1613</v>
      </c>
      <c r="C627" s="32" t="s">
        <v>614</v>
      </c>
      <c r="D627" s="14" t="s">
        <v>1632</v>
      </c>
      <c r="E627" s="15" t="s">
        <v>2189</v>
      </c>
      <c r="F627" s="16" t="s">
        <v>3459</v>
      </c>
      <c r="G627" s="16" t="s">
        <v>3460</v>
      </c>
    </row>
    <row r="628" spans="1:7" x14ac:dyDescent="0.25">
      <c r="A628" s="9" t="s">
        <v>3420</v>
      </c>
      <c r="B628" s="10" t="s">
        <v>1613</v>
      </c>
      <c r="C628" s="31" t="s">
        <v>615</v>
      </c>
      <c r="D628" s="10" t="s">
        <v>1633</v>
      </c>
      <c r="E628" s="11" t="s">
        <v>2189</v>
      </c>
      <c r="F628" s="12" t="s">
        <v>3461</v>
      </c>
      <c r="G628" s="12" t="s">
        <v>3462</v>
      </c>
    </row>
    <row r="629" spans="1:7" x14ac:dyDescent="0.25">
      <c r="A629" s="13" t="s">
        <v>3420</v>
      </c>
      <c r="B629" s="14" t="s">
        <v>1613</v>
      </c>
      <c r="C629" s="32" t="s">
        <v>616</v>
      </c>
      <c r="D629" s="14" t="s">
        <v>1634</v>
      </c>
      <c r="E629" s="15" t="s">
        <v>2189</v>
      </c>
      <c r="F629" s="16" t="s">
        <v>3463</v>
      </c>
      <c r="G629" s="16" t="s">
        <v>3464</v>
      </c>
    </row>
    <row r="630" spans="1:7" x14ac:dyDescent="0.25">
      <c r="A630" s="9" t="s">
        <v>3420</v>
      </c>
      <c r="B630" s="10" t="s">
        <v>1613</v>
      </c>
      <c r="C630" s="31" t="s">
        <v>617</v>
      </c>
      <c r="D630" s="10" t="s">
        <v>1353</v>
      </c>
      <c r="E630" s="11" t="s">
        <v>2189</v>
      </c>
      <c r="F630" s="12" t="s">
        <v>3465</v>
      </c>
      <c r="G630" s="12" t="s">
        <v>3466</v>
      </c>
    </row>
    <row r="631" spans="1:7" x14ac:dyDescent="0.25">
      <c r="A631" s="13" t="s">
        <v>3420</v>
      </c>
      <c r="B631" s="14" t="s">
        <v>1613</v>
      </c>
      <c r="C631" s="32" t="s">
        <v>618</v>
      </c>
      <c r="D631" s="14" t="s">
        <v>1635</v>
      </c>
      <c r="E631" s="15" t="s">
        <v>2189</v>
      </c>
      <c r="F631" s="16" t="s">
        <v>3467</v>
      </c>
      <c r="G631" s="16" t="s">
        <v>3468</v>
      </c>
    </row>
    <row r="632" spans="1:7" x14ac:dyDescent="0.25">
      <c r="A632" s="9" t="s">
        <v>3420</v>
      </c>
      <c r="B632" s="10" t="s">
        <v>1613</v>
      </c>
      <c r="C632" s="31" t="s">
        <v>619</v>
      </c>
      <c r="D632" s="10" t="s">
        <v>1636</v>
      </c>
      <c r="E632" s="11" t="s">
        <v>2189</v>
      </c>
      <c r="F632" s="12" t="s">
        <v>3469</v>
      </c>
      <c r="G632" s="12" t="s">
        <v>3470</v>
      </c>
    </row>
    <row r="633" spans="1:7" x14ac:dyDescent="0.25">
      <c r="A633" s="13" t="s">
        <v>3420</v>
      </c>
      <c r="B633" s="14" t="s">
        <v>1613</v>
      </c>
      <c r="C633" s="32" t="s">
        <v>620</v>
      </c>
      <c r="D633" s="14" t="s">
        <v>1637</v>
      </c>
      <c r="E633" s="15" t="s">
        <v>2189</v>
      </c>
      <c r="F633" s="16" t="s">
        <v>3471</v>
      </c>
      <c r="G633" s="16" t="s">
        <v>3472</v>
      </c>
    </row>
    <row r="634" spans="1:7" ht="24" x14ac:dyDescent="0.25">
      <c r="A634" s="9" t="s">
        <v>3420</v>
      </c>
      <c r="B634" s="10" t="s">
        <v>1613</v>
      </c>
      <c r="C634" s="31" t="s">
        <v>621</v>
      </c>
      <c r="D634" s="10" t="s">
        <v>1638</v>
      </c>
      <c r="E634" s="11" t="s">
        <v>2189</v>
      </c>
      <c r="F634" s="12" t="s">
        <v>3473</v>
      </c>
      <c r="G634" s="12" t="s">
        <v>3474</v>
      </c>
    </row>
    <row r="635" spans="1:7" ht="24" x14ac:dyDescent="0.25">
      <c r="A635" s="13" t="s">
        <v>3420</v>
      </c>
      <c r="B635" s="14" t="s">
        <v>1613</v>
      </c>
      <c r="C635" s="32" t="s">
        <v>622</v>
      </c>
      <c r="D635" s="14" t="s">
        <v>1639</v>
      </c>
      <c r="E635" s="15" t="s">
        <v>2189</v>
      </c>
      <c r="F635" s="16" t="s">
        <v>3475</v>
      </c>
      <c r="G635" s="16" t="s">
        <v>3476</v>
      </c>
    </row>
    <row r="636" spans="1:7" ht="24" x14ac:dyDescent="0.25">
      <c r="A636" s="9" t="s">
        <v>3420</v>
      </c>
      <c r="B636" s="10" t="s">
        <v>1613</v>
      </c>
      <c r="C636" s="31" t="s">
        <v>623</v>
      </c>
      <c r="D636" s="10" t="s">
        <v>1306</v>
      </c>
      <c r="E636" s="11" t="s">
        <v>2189</v>
      </c>
      <c r="F636" s="12" t="s">
        <v>3477</v>
      </c>
      <c r="G636" s="12" t="s">
        <v>3478</v>
      </c>
    </row>
    <row r="637" spans="1:7" x14ac:dyDescent="0.25">
      <c r="A637" s="13" t="s">
        <v>3420</v>
      </c>
      <c r="B637" s="14" t="s">
        <v>1613</v>
      </c>
      <c r="C637" s="32" t="s">
        <v>624</v>
      </c>
      <c r="D637" s="14" t="s">
        <v>1640</v>
      </c>
      <c r="E637" s="15" t="s">
        <v>2189</v>
      </c>
      <c r="F637" s="16" t="s">
        <v>3479</v>
      </c>
      <c r="G637" s="16" t="s">
        <v>3480</v>
      </c>
    </row>
    <row r="638" spans="1:7" x14ac:dyDescent="0.25">
      <c r="A638" s="9" t="s">
        <v>3420</v>
      </c>
      <c r="B638" s="10" t="s">
        <v>1613</v>
      </c>
      <c r="C638" s="31" t="s">
        <v>625</v>
      </c>
      <c r="D638" s="10" t="s">
        <v>1641</v>
      </c>
      <c r="E638" s="11" t="s">
        <v>2189</v>
      </c>
      <c r="F638" s="12" t="s">
        <v>3481</v>
      </c>
      <c r="G638" s="12" t="s">
        <v>3482</v>
      </c>
    </row>
    <row r="639" spans="1:7" x14ac:dyDescent="0.25">
      <c r="A639" s="13" t="s">
        <v>3420</v>
      </c>
      <c r="B639" s="14" t="s">
        <v>1613</v>
      </c>
      <c r="C639" s="32" t="s">
        <v>626</v>
      </c>
      <c r="D639" s="14" t="s">
        <v>1642</v>
      </c>
      <c r="E639" s="15" t="s">
        <v>2189</v>
      </c>
      <c r="F639" s="16" t="s">
        <v>3483</v>
      </c>
      <c r="G639" s="16" t="s">
        <v>3484</v>
      </c>
    </row>
    <row r="640" spans="1:7" x14ac:dyDescent="0.25">
      <c r="A640" s="9" t="s">
        <v>3420</v>
      </c>
      <c r="B640" s="10" t="s">
        <v>1613</v>
      </c>
      <c r="C640" s="31" t="s">
        <v>627</v>
      </c>
      <c r="D640" s="10" t="s">
        <v>1643</v>
      </c>
      <c r="E640" s="11" t="s">
        <v>2189</v>
      </c>
      <c r="F640" s="12" t="s">
        <v>3485</v>
      </c>
      <c r="G640" s="12" t="s">
        <v>3486</v>
      </c>
    </row>
    <row r="641" spans="1:7" x14ac:dyDescent="0.25">
      <c r="A641" s="13" t="s">
        <v>3420</v>
      </c>
      <c r="B641" s="14" t="s">
        <v>1613</v>
      </c>
      <c r="C641" s="32" t="s">
        <v>628</v>
      </c>
      <c r="D641" s="14" t="s">
        <v>1644</v>
      </c>
      <c r="E641" s="15" t="s">
        <v>2189</v>
      </c>
      <c r="F641" s="16" t="s">
        <v>3487</v>
      </c>
      <c r="G641" s="16" t="s">
        <v>3488</v>
      </c>
    </row>
    <row r="642" spans="1:7" x14ac:dyDescent="0.25">
      <c r="A642" s="9" t="s">
        <v>3420</v>
      </c>
      <c r="B642" s="10" t="s">
        <v>1613</v>
      </c>
      <c r="C642" s="31" t="s">
        <v>629</v>
      </c>
      <c r="D642" s="10" t="s">
        <v>1645</v>
      </c>
      <c r="E642" s="11" t="s">
        <v>2189</v>
      </c>
      <c r="F642" s="12" t="s">
        <v>3489</v>
      </c>
      <c r="G642" s="12" t="s">
        <v>3490</v>
      </c>
    </row>
    <row r="643" spans="1:7" x14ac:dyDescent="0.25">
      <c r="A643" s="13" t="s">
        <v>3420</v>
      </c>
      <c r="B643" s="14" t="s">
        <v>1613</v>
      </c>
      <c r="C643" s="32" t="s">
        <v>630</v>
      </c>
      <c r="D643" s="14" t="s">
        <v>1646</v>
      </c>
      <c r="E643" s="15" t="s">
        <v>2189</v>
      </c>
      <c r="F643" s="16" t="s">
        <v>3491</v>
      </c>
      <c r="G643" s="16" t="s">
        <v>3492</v>
      </c>
    </row>
    <row r="644" spans="1:7" x14ac:dyDescent="0.25">
      <c r="A644" s="9" t="s">
        <v>3420</v>
      </c>
      <c r="B644" s="10" t="s">
        <v>1613</v>
      </c>
      <c r="C644" s="31" t="s">
        <v>631</v>
      </c>
      <c r="D644" s="10" t="s">
        <v>1647</v>
      </c>
      <c r="E644" s="11" t="s">
        <v>2189</v>
      </c>
      <c r="F644" s="12" t="s">
        <v>3493</v>
      </c>
      <c r="G644" s="12" t="s">
        <v>3494</v>
      </c>
    </row>
    <row r="645" spans="1:7" x14ac:dyDescent="0.25">
      <c r="A645" s="13" t="s">
        <v>3495</v>
      </c>
      <c r="B645" s="14" t="s">
        <v>1648</v>
      </c>
      <c r="C645" s="32" t="s">
        <v>632</v>
      </c>
      <c r="D645" s="14" t="s">
        <v>1649</v>
      </c>
      <c r="E645" s="15" t="s">
        <v>2189</v>
      </c>
      <c r="F645" s="16" t="s">
        <v>3496</v>
      </c>
      <c r="G645" s="16" t="s">
        <v>3497</v>
      </c>
    </row>
    <row r="646" spans="1:7" x14ac:dyDescent="0.25">
      <c r="A646" s="9" t="s">
        <v>3495</v>
      </c>
      <c r="B646" s="10" t="s">
        <v>1648</v>
      </c>
      <c r="C646" s="31" t="s">
        <v>633</v>
      </c>
      <c r="D646" s="10" t="s">
        <v>1366</v>
      </c>
      <c r="E646" s="11" t="s">
        <v>2189</v>
      </c>
      <c r="F646" s="12" t="s">
        <v>3498</v>
      </c>
      <c r="G646" s="12" t="s">
        <v>3499</v>
      </c>
    </row>
    <row r="647" spans="1:7" x14ac:dyDescent="0.25">
      <c r="A647" s="13" t="s">
        <v>3495</v>
      </c>
      <c r="B647" s="14" t="s">
        <v>1648</v>
      </c>
      <c r="C647" s="32" t="s">
        <v>634</v>
      </c>
      <c r="D647" s="14" t="s">
        <v>1650</v>
      </c>
      <c r="E647" s="15" t="s">
        <v>2189</v>
      </c>
      <c r="F647" s="16" t="s">
        <v>3500</v>
      </c>
      <c r="G647" s="16" t="s">
        <v>3501</v>
      </c>
    </row>
    <row r="648" spans="1:7" x14ac:dyDescent="0.25">
      <c r="A648" s="9" t="s">
        <v>3495</v>
      </c>
      <c r="B648" s="10" t="s">
        <v>1648</v>
      </c>
      <c r="C648" s="31" t="s">
        <v>635</v>
      </c>
      <c r="D648" s="10" t="s">
        <v>1651</v>
      </c>
      <c r="E648" s="11" t="s">
        <v>2189</v>
      </c>
      <c r="F648" s="12" t="s">
        <v>3502</v>
      </c>
      <c r="G648" s="12" t="s">
        <v>3503</v>
      </c>
    </row>
    <row r="649" spans="1:7" ht="24" x14ac:dyDescent="0.25">
      <c r="A649" s="13" t="s">
        <v>3495</v>
      </c>
      <c r="B649" s="14" t="s">
        <v>1648</v>
      </c>
      <c r="C649" s="32" t="s">
        <v>636</v>
      </c>
      <c r="D649" s="14" t="s">
        <v>1652</v>
      </c>
      <c r="E649" s="15" t="s">
        <v>2189</v>
      </c>
      <c r="F649" s="16" t="s">
        <v>3504</v>
      </c>
      <c r="G649" s="16" t="s">
        <v>3505</v>
      </c>
    </row>
    <row r="650" spans="1:7" x14ac:dyDescent="0.25">
      <c r="A650" s="9" t="s">
        <v>3495</v>
      </c>
      <c r="B650" s="10" t="s">
        <v>1648</v>
      </c>
      <c r="C650" s="31" t="s">
        <v>637</v>
      </c>
      <c r="D650" s="10" t="s">
        <v>1653</v>
      </c>
      <c r="E650" s="11" t="s">
        <v>2189</v>
      </c>
      <c r="F650" s="12" t="s">
        <v>3506</v>
      </c>
      <c r="G650" s="12" t="s">
        <v>3507</v>
      </c>
    </row>
    <row r="651" spans="1:7" x14ac:dyDescent="0.25">
      <c r="A651" s="13" t="s">
        <v>3495</v>
      </c>
      <c r="B651" s="14" t="s">
        <v>1648</v>
      </c>
      <c r="C651" s="32" t="s">
        <v>638</v>
      </c>
      <c r="D651" s="14" t="s">
        <v>1654</v>
      </c>
      <c r="E651" s="15" t="s">
        <v>2189</v>
      </c>
      <c r="F651" s="16" t="s">
        <v>3508</v>
      </c>
      <c r="G651" s="16" t="s">
        <v>3509</v>
      </c>
    </row>
    <row r="652" spans="1:7" ht="24" x14ac:dyDescent="0.25">
      <c r="A652" s="9" t="s">
        <v>3495</v>
      </c>
      <c r="B652" s="10" t="s">
        <v>1648</v>
      </c>
      <c r="C652" s="31" t="s">
        <v>639</v>
      </c>
      <c r="D652" s="10" t="s">
        <v>1655</v>
      </c>
      <c r="E652" s="11" t="s">
        <v>2189</v>
      </c>
      <c r="F652" s="12" t="s">
        <v>3510</v>
      </c>
      <c r="G652" s="12" t="s">
        <v>3511</v>
      </c>
    </row>
    <row r="653" spans="1:7" ht="24" x14ac:dyDescent="0.25">
      <c r="A653" s="13" t="s">
        <v>3495</v>
      </c>
      <c r="B653" s="14" t="s">
        <v>1648</v>
      </c>
      <c r="C653" s="32" t="s">
        <v>640</v>
      </c>
      <c r="D653" s="14" t="s">
        <v>1656</v>
      </c>
      <c r="E653" s="15" t="s">
        <v>2189</v>
      </c>
      <c r="F653" s="16" t="s">
        <v>3512</v>
      </c>
      <c r="G653" s="16" t="s">
        <v>3513</v>
      </c>
    </row>
    <row r="654" spans="1:7" x14ac:dyDescent="0.25">
      <c r="A654" s="9" t="s">
        <v>3495</v>
      </c>
      <c r="B654" s="10" t="s">
        <v>1648</v>
      </c>
      <c r="C654" s="31" t="s">
        <v>641</v>
      </c>
      <c r="D654" s="10" t="s">
        <v>1657</v>
      </c>
      <c r="E654" s="11" t="s">
        <v>2189</v>
      </c>
      <c r="F654" s="12" t="s">
        <v>3514</v>
      </c>
      <c r="G654" s="12" t="s">
        <v>3515</v>
      </c>
    </row>
    <row r="655" spans="1:7" x14ac:dyDescent="0.25">
      <c r="A655" s="13" t="s">
        <v>3495</v>
      </c>
      <c r="B655" s="14" t="s">
        <v>1648</v>
      </c>
      <c r="C655" s="32" t="s">
        <v>642</v>
      </c>
      <c r="D655" s="14" t="s">
        <v>1658</v>
      </c>
      <c r="E655" s="15" t="s">
        <v>2189</v>
      </c>
      <c r="F655" s="16" t="s">
        <v>3516</v>
      </c>
      <c r="G655" s="16" t="s">
        <v>3517</v>
      </c>
    </row>
    <row r="656" spans="1:7" ht="24" x14ac:dyDescent="0.25">
      <c r="A656" s="9" t="s">
        <v>3495</v>
      </c>
      <c r="B656" s="10" t="s">
        <v>1648</v>
      </c>
      <c r="C656" s="31" t="s">
        <v>643</v>
      </c>
      <c r="D656" s="10" t="s">
        <v>1659</v>
      </c>
      <c r="E656" s="11" t="s">
        <v>2189</v>
      </c>
      <c r="F656" s="12" t="s">
        <v>3518</v>
      </c>
      <c r="G656" s="12" t="s">
        <v>3519</v>
      </c>
    </row>
    <row r="657" spans="1:7" x14ac:dyDescent="0.25">
      <c r="A657" s="13" t="s">
        <v>3495</v>
      </c>
      <c r="B657" s="14" t="s">
        <v>1648</v>
      </c>
      <c r="C657" s="32" t="s">
        <v>644</v>
      </c>
      <c r="D657" s="14" t="s">
        <v>1660</v>
      </c>
      <c r="E657" s="15" t="s">
        <v>2189</v>
      </c>
      <c r="F657" s="16" t="s">
        <v>3520</v>
      </c>
      <c r="G657" s="16" t="s">
        <v>3521</v>
      </c>
    </row>
    <row r="658" spans="1:7" x14ac:dyDescent="0.25">
      <c r="A658" s="9" t="s">
        <v>3495</v>
      </c>
      <c r="B658" s="10" t="s">
        <v>1648</v>
      </c>
      <c r="C658" s="31" t="s">
        <v>645</v>
      </c>
      <c r="D658" s="10" t="s">
        <v>1661</v>
      </c>
      <c r="E658" s="11" t="s">
        <v>2189</v>
      </c>
      <c r="F658" s="12" t="s">
        <v>3522</v>
      </c>
      <c r="G658" s="12" t="s">
        <v>3523</v>
      </c>
    </row>
    <row r="659" spans="1:7" x14ac:dyDescent="0.25">
      <c r="A659" s="13" t="s">
        <v>3495</v>
      </c>
      <c r="B659" s="14" t="s">
        <v>1648</v>
      </c>
      <c r="C659" s="32" t="s">
        <v>646</v>
      </c>
      <c r="D659" s="14" t="s">
        <v>1236</v>
      </c>
      <c r="E659" s="15" t="s">
        <v>2189</v>
      </c>
      <c r="F659" s="16" t="s">
        <v>3524</v>
      </c>
      <c r="G659" s="16" t="s">
        <v>3525</v>
      </c>
    </row>
    <row r="660" spans="1:7" ht="24" x14ac:dyDescent="0.25">
      <c r="A660" s="9" t="s">
        <v>3526</v>
      </c>
      <c r="B660" s="10" t="s">
        <v>1662</v>
      </c>
      <c r="C660" s="31" t="s">
        <v>842</v>
      </c>
      <c r="D660" s="10" t="s">
        <v>1833</v>
      </c>
      <c r="E660" s="11" t="s">
        <v>2189</v>
      </c>
      <c r="F660" s="12" t="s">
        <v>3527</v>
      </c>
      <c r="G660" s="12" t="s">
        <v>3528</v>
      </c>
    </row>
    <row r="661" spans="1:7" ht="24" x14ac:dyDescent="0.25">
      <c r="A661" s="13" t="s">
        <v>3526</v>
      </c>
      <c r="B661" s="14" t="s">
        <v>1662</v>
      </c>
      <c r="C661" s="32" t="s">
        <v>647</v>
      </c>
      <c r="D661" s="14" t="s">
        <v>1663</v>
      </c>
      <c r="E661" s="15" t="s">
        <v>2189</v>
      </c>
      <c r="F661" s="16" t="s">
        <v>3529</v>
      </c>
      <c r="G661" s="16" t="s">
        <v>3530</v>
      </c>
    </row>
    <row r="662" spans="1:7" x14ac:dyDescent="0.25">
      <c r="A662" s="9" t="s">
        <v>3526</v>
      </c>
      <c r="B662" s="10" t="s">
        <v>1662</v>
      </c>
      <c r="C662" s="31" t="s">
        <v>648</v>
      </c>
      <c r="D662" s="10" t="s">
        <v>1664</v>
      </c>
      <c r="E662" s="11" t="s">
        <v>2189</v>
      </c>
      <c r="F662" s="12" t="s">
        <v>3531</v>
      </c>
      <c r="G662" s="12" t="s">
        <v>3532</v>
      </c>
    </row>
    <row r="663" spans="1:7" x14ac:dyDescent="0.25">
      <c r="A663" s="13" t="s">
        <v>3526</v>
      </c>
      <c r="B663" s="14" t="s">
        <v>1662</v>
      </c>
      <c r="C663" s="32" t="s">
        <v>649</v>
      </c>
      <c r="D663" s="14" t="s">
        <v>1665</v>
      </c>
      <c r="E663" s="15" t="s">
        <v>2189</v>
      </c>
      <c r="F663" s="16" t="s">
        <v>3533</v>
      </c>
      <c r="G663" s="16" t="s">
        <v>3534</v>
      </c>
    </row>
    <row r="664" spans="1:7" ht="36" x14ac:dyDescent="0.25">
      <c r="A664" s="9" t="s">
        <v>3526</v>
      </c>
      <c r="B664" s="10" t="s">
        <v>1662</v>
      </c>
      <c r="C664" s="31" t="s">
        <v>650</v>
      </c>
      <c r="D664" s="10" t="s">
        <v>1666</v>
      </c>
      <c r="E664" s="11" t="s">
        <v>2189</v>
      </c>
      <c r="F664" s="12" t="s">
        <v>3535</v>
      </c>
      <c r="G664" s="12" t="s">
        <v>3536</v>
      </c>
    </row>
    <row r="665" spans="1:7" x14ac:dyDescent="0.25">
      <c r="A665" s="13" t="s">
        <v>3526</v>
      </c>
      <c r="B665" s="14" t="s">
        <v>1662</v>
      </c>
      <c r="C665" s="32" t="s">
        <v>651</v>
      </c>
      <c r="D665" s="14" t="s">
        <v>1667</v>
      </c>
      <c r="E665" s="15" t="s">
        <v>2189</v>
      </c>
      <c r="F665" s="16" t="s">
        <v>3537</v>
      </c>
      <c r="G665" s="16" t="s">
        <v>3538</v>
      </c>
    </row>
    <row r="666" spans="1:7" x14ac:dyDescent="0.25">
      <c r="A666" s="9" t="s">
        <v>3526</v>
      </c>
      <c r="B666" s="10" t="s">
        <v>1662</v>
      </c>
      <c r="C666" s="31" t="s">
        <v>652</v>
      </c>
      <c r="D666" s="10" t="s">
        <v>1668</v>
      </c>
      <c r="E666" s="11" t="s">
        <v>2189</v>
      </c>
      <c r="F666" s="12" t="s">
        <v>3539</v>
      </c>
      <c r="G666" s="12" t="s">
        <v>3540</v>
      </c>
    </row>
    <row r="667" spans="1:7" x14ac:dyDescent="0.25">
      <c r="A667" s="13" t="s">
        <v>3526</v>
      </c>
      <c r="B667" s="14" t="s">
        <v>1662</v>
      </c>
      <c r="C667" s="32" t="s">
        <v>653</v>
      </c>
      <c r="D667" s="14" t="s">
        <v>1082</v>
      </c>
      <c r="E667" s="15" t="s">
        <v>2189</v>
      </c>
      <c r="F667" s="16" t="s">
        <v>3541</v>
      </c>
      <c r="G667" s="16" t="s">
        <v>3542</v>
      </c>
    </row>
    <row r="668" spans="1:7" x14ac:dyDescent="0.25">
      <c r="A668" s="9" t="s">
        <v>3526</v>
      </c>
      <c r="B668" s="10" t="s">
        <v>1662</v>
      </c>
      <c r="C668" s="31" t="s">
        <v>654</v>
      </c>
      <c r="D668" s="10" t="s">
        <v>1669</v>
      </c>
      <c r="E668" s="11" t="s">
        <v>2189</v>
      </c>
      <c r="F668" s="12" t="s">
        <v>3543</v>
      </c>
      <c r="G668" s="12" t="s">
        <v>3544</v>
      </c>
    </row>
    <row r="669" spans="1:7" x14ac:dyDescent="0.25">
      <c r="A669" s="13" t="s">
        <v>3526</v>
      </c>
      <c r="B669" s="14" t="s">
        <v>1662</v>
      </c>
      <c r="C669" s="32" t="s">
        <v>655</v>
      </c>
      <c r="D669" s="14" t="s">
        <v>1670</v>
      </c>
      <c r="E669" s="15" t="s">
        <v>2189</v>
      </c>
      <c r="F669" s="16" t="s">
        <v>3545</v>
      </c>
      <c r="G669" s="16" t="s">
        <v>3546</v>
      </c>
    </row>
    <row r="670" spans="1:7" x14ac:dyDescent="0.25">
      <c r="A670" s="9" t="s">
        <v>3526</v>
      </c>
      <c r="B670" s="10" t="s">
        <v>1662</v>
      </c>
      <c r="C670" s="31" t="s">
        <v>656</v>
      </c>
      <c r="D670" s="10" t="s">
        <v>1671</v>
      </c>
      <c r="E670" s="11" t="s">
        <v>2189</v>
      </c>
      <c r="F670" s="12" t="s">
        <v>3547</v>
      </c>
      <c r="G670" s="12" t="s">
        <v>3548</v>
      </c>
    </row>
    <row r="671" spans="1:7" x14ac:dyDescent="0.25">
      <c r="A671" s="13" t="s">
        <v>3526</v>
      </c>
      <c r="B671" s="14" t="s">
        <v>1662</v>
      </c>
      <c r="C671" s="32" t="s">
        <v>657</v>
      </c>
      <c r="D671" s="14" t="s">
        <v>1672</v>
      </c>
      <c r="E671" s="15" t="s">
        <v>2189</v>
      </c>
      <c r="F671" s="16" t="s">
        <v>3549</v>
      </c>
      <c r="G671" s="16" t="s">
        <v>3550</v>
      </c>
    </row>
    <row r="672" spans="1:7" x14ac:dyDescent="0.25">
      <c r="A672" s="9" t="s">
        <v>3526</v>
      </c>
      <c r="B672" s="10" t="s">
        <v>1662</v>
      </c>
      <c r="C672" s="31" t="s">
        <v>658</v>
      </c>
      <c r="D672" s="10" t="s">
        <v>1673</v>
      </c>
      <c r="E672" s="11" t="s">
        <v>2189</v>
      </c>
      <c r="F672" s="12" t="s">
        <v>3551</v>
      </c>
      <c r="G672" s="12" t="s">
        <v>3552</v>
      </c>
    </row>
    <row r="673" spans="1:7" ht="24" x14ac:dyDescent="0.25">
      <c r="A673" s="13" t="s">
        <v>3526</v>
      </c>
      <c r="B673" s="14" t="s">
        <v>1662</v>
      </c>
      <c r="C673" s="32" t="s">
        <v>659</v>
      </c>
      <c r="D673" s="14" t="s">
        <v>1674</v>
      </c>
      <c r="E673" s="15" t="s">
        <v>2189</v>
      </c>
      <c r="F673" s="16" t="s">
        <v>3553</v>
      </c>
      <c r="G673" s="16" t="s">
        <v>3554</v>
      </c>
    </row>
    <row r="674" spans="1:7" x14ac:dyDescent="0.25">
      <c r="A674" s="9" t="s">
        <v>3526</v>
      </c>
      <c r="B674" s="10" t="s">
        <v>1662</v>
      </c>
      <c r="C674" s="31" t="s">
        <v>660</v>
      </c>
      <c r="D674" s="10" t="s">
        <v>1675</v>
      </c>
      <c r="E674" s="11" t="s">
        <v>2189</v>
      </c>
      <c r="F674" s="12" t="s">
        <v>3555</v>
      </c>
      <c r="G674" s="12" t="s">
        <v>3556</v>
      </c>
    </row>
    <row r="675" spans="1:7" ht="24" x14ac:dyDescent="0.25">
      <c r="A675" s="13" t="s">
        <v>3526</v>
      </c>
      <c r="B675" s="14" t="s">
        <v>1662</v>
      </c>
      <c r="C675" s="32" t="s">
        <v>661</v>
      </c>
      <c r="D675" s="14" t="s">
        <v>1676</v>
      </c>
      <c r="E675" s="15" t="s">
        <v>2189</v>
      </c>
      <c r="F675" s="16" t="s">
        <v>3557</v>
      </c>
      <c r="G675" s="16" t="s">
        <v>3558</v>
      </c>
    </row>
    <row r="676" spans="1:7" x14ac:dyDescent="0.25">
      <c r="A676" s="9" t="s">
        <v>3526</v>
      </c>
      <c r="B676" s="10" t="s">
        <v>1662</v>
      </c>
      <c r="C676" s="31" t="s">
        <v>662</v>
      </c>
      <c r="D676" s="10" t="s">
        <v>1677</v>
      </c>
      <c r="E676" s="11" t="s">
        <v>2189</v>
      </c>
      <c r="F676" s="12" t="s">
        <v>3559</v>
      </c>
      <c r="G676" s="12" t="s">
        <v>3560</v>
      </c>
    </row>
    <row r="677" spans="1:7" x14ac:dyDescent="0.25">
      <c r="A677" s="13" t="s">
        <v>3526</v>
      </c>
      <c r="B677" s="14" t="s">
        <v>1662</v>
      </c>
      <c r="C677" s="32" t="s">
        <v>663</v>
      </c>
      <c r="D677" s="14" t="s">
        <v>1678</v>
      </c>
      <c r="E677" s="15" t="s">
        <v>2189</v>
      </c>
      <c r="F677" s="16" t="s">
        <v>3561</v>
      </c>
      <c r="G677" s="16" t="s">
        <v>3562</v>
      </c>
    </row>
    <row r="678" spans="1:7" ht="24" x14ac:dyDescent="0.25">
      <c r="A678" s="9" t="s">
        <v>3526</v>
      </c>
      <c r="B678" s="10" t="s">
        <v>1662</v>
      </c>
      <c r="C678" s="31" t="s">
        <v>664</v>
      </c>
      <c r="D678" s="10" t="s">
        <v>1679</v>
      </c>
      <c r="E678" s="11" t="s">
        <v>2189</v>
      </c>
      <c r="F678" s="12" t="s">
        <v>3563</v>
      </c>
      <c r="G678" s="12" t="s">
        <v>3564</v>
      </c>
    </row>
    <row r="679" spans="1:7" x14ac:dyDescent="0.25">
      <c r="A679" s="13" t="s">
        <v>3526</v>
      </c>
      <c r="B679" s="14" t="s">
        <v>1662</v>
      </c>
      <c r="C679" s="32" t="s">
        <v>665</v>
      </c>
      <c r="D679" s="14" t="s">
        <v>1680</v>
      </c>
      <c r="E679" s="15" t="s">
        <v>2189</v>
      </c>
      <c r="F679" s="16" t="s">
        <v>3565</v>
      </c>
      <c r="G679" s="16" t="s">
        <v>3566</v>
      </c>
    </row>
    <row r="680" spans="1:7" ht="36" x14ac:dyDescent="0.25">
      <c r="A680" s="9" t="s">
        <v>3526</v>
      </c>
      <c r="B680" s="10" t="s">
        <v>1662</v>
      </c>
      <c r="C680" s="31" t="s">
        <v>666</v>
      </c>
      <c r="D680" s="10" t="s">
        <v>1681</v>
      </c>
      <c r="E680" s="11" t="s">
        <v>2189</v>
      </c>
      <c r="F680" s="12" t="s">
        <v>3567</v>
      </c>
      <c r="G680" s="12" t="s">
        <v>3568</v>
      </c>
    </row>
    <row r="681" spans="1:7" x14ac:dyDescent="0.25">
      <c r="A681" s="13" t="s">
        <v>3526</v>
      </c>
      <c r="B681" s="14" t="s">
        <v>1662</v>
      </c>
      <c r="C681" s="32" t="s">
        <v>667</v>
      </c>
      <c r="D681" s="14" t="s">
        <v>1357</v>
      </c>
      <c r="E681" s="15" t="s">
        <v>2189</v>
      </c>
      <c r="F681" s="16" t="s">
        <v>3569</v>
      </c>
      <c r="G681" s="16" t="s">
        <v>3570</v>
      </c>
    </row>
    <row r="682" spans="1:7" ht="48" x14ac:dyDescent="0.25">
      <c r="A682" s="9" t="s">
        <v>3526</v>
      </c>
      <c r="B682" s="10" t="s">
        <v>1662</v>
      </c>
      <c r="C682" s="31" t="s">
        <v>668</v>
      </c>
      <c r="D682" s="10" t="s">
        <v>1682</v>
      </c>
      <c r="E682" s="11" t="s">
        <v>2189</v>
      </c>
      <c r="F682" s="12" t="s">
        <v>3571</v>
      </c>
      <c r="G682" s="12" t="s">
        <v>3572</v>
      </c>
    </row>
    <row r="683" spans="1:7" x14ac:dyDescent="0.25">
      <c r="A683" s="13" t="s">
        <v>3526</v>
      </c>
      <c r="B683" s="14" t="s">
        <v>1662</v>
      </c>
      <c r="C683" s="32" t="s">
        <v>669</v>
      </c>
      <c r="D683" s="14" t="s">
        <v>1683</v>
      </c>
      <c r="E683" s="15" t="s">
        <v>2189</v>
      </c>
      <c r="F683" s="16" t="s">
        <v>3573</v>
      </c>
      <c r="G683" s="16" t="s">
        <v>3574</v>
      </c>
    </row>
    <row r="684" spans="1:7" x14ac:dyDescent="0.25">
      <c r="A684" s="9" t="s">
        <v>3526</v>
      </c>
      <c r="B684" s="10" t="s">
        <v>1662</v>
      </c>
      <c r="C684" s="31" t="s">
        <v>670</v>
      </c>
      <c r="D684" s="10" t="s">
        <v>1684</v>
      </c>
      <c r="E684" s="11" t="s">
        <v>2189</v>
      </c>
      <c r="F684" s="12" t="s">
        <v>3575</v>
      </c>
      <c r="G684" s="12" t="s">
        <v>3576</v>
      </c>
    </row>
    <row r="685" spans="1:7" ht="36" x14ac:dyDescent="0.25">
      <c r="A685" s="13" t="s">
        <v>3526</v>
      </c>
      <c r="B685" s="14" t="s">
        <v>1662</v>
      </c>
      <c r="C685" s="32" t="s">
        <v>671</v>
      </c>
      <c r="D685" s="14" t="s">
        <v>1685</v>
      </c>
      <c r="E685" s="15" t="s">
        <v>2189</v>
      </c>
      <c r="F685" s="16" t="s">
        <v>3577</v>
      </c>
      <c r="G685" s="16" t="s">
        <v>3578</v>
      </c>
    </row>
    <row r="686" spans="1:7" x14ac:dyDescent="0.25">
      <c r="A686" s="9" t="s">
        <v>3526</v>
      </c>
      <c r="B686" s="10" t="s">
        <v>1662</v>
      </c>
      <c r="C686" s="31" t="s">
        <v>672</v>
      </c>
      <c r="D686" s="10" t="s">
        <v>1686</v>
      </c>
      <c r="E686" s="11" t="s">
        <v>2189</v>
      </c>
      <c r="F686" s="12" t="s">
        <v>3579</v>
      </c>
      <c r="G686" s="12" t="s">
        <v>3580</v>
      </c>
    </row>
    <row r="687" spans="1:7" x14ac:dyDescent="0.25">
      <c r="A687" s="13" t="s">
        <v>3526</v>
      </c>
      <c r="B687" s="14" t="s">
        <v>1662</v>
      </c>
      <c r="C687" s="32" t="s">
        <v>673</v>
      </c>
      <c r="D687" s="14" t="s">
        <v>1687</v>
      </c>
      <c r="E687" s="15" t="s">
        <v>2189</v>
      </c>
      <c r="F687" s="16" t="s">
        <v>3581</v>
      </c>
      <c r="G687" s="16" t="s">
        <v>3582</v>
      </c>
    </row>
    <row r="688" spans="1:7" x14ac:dyDescent="0.25">
      <c r="A688" s="9" t="s">
        <v>3526</v>
      </c>
      <c r="B688" s="10" t="s">
        <v>1662</v>
      </c>
      <c r="C688" s="31" t="s">
        <v>674</v>
      </c>
      <c r="D688" s="10" t="s">
        <v>1688</v>
      </c>
      <c r="E688" s="11" t="s">
        <v>2189</v>
      </c>
      <c r="F688" s="12" t="s">
        <v>3583</v>
      </c>
      <c r="G688" s="12" t="s">
        <v>3584</v>
      </c>
    </row>
    <row r="689" spans="1:7" ht="24" x14ac:dyDescent="0.25">
      <c r="A689" s="13" t="s">
        <v>3526</v>
      </c>
      <c r="B689" s="14" t="s">
        <v>1662</v>
      </c>
      <c r="C689" s="32" t="s">
        <v>675</v>
      </c>
      <c r="D689" s="14" t="s">
        <v>1689</v>
      </c>
      <c r="E689" s="15" t="s">
        <v>2189</v>
      </c>
      <c r="F689" s="16" t="s">
        <v>3585</v>
      </c>
      <c r="G689" s="16" t="s">
        <v>3586</v>
      </c>
    </row>
    <row r="690" spans="1:7" ht="24" x14ac:dyDescent="0.25">
      <c r="A690" s="9" t="s">
        <v>3587</v>
      </c>
      <c r="B690" s="10" t="s">
        <v>1690</v>
      </c>
      <c r="C690" s="31" t="s">
        <v>676</v>
      </c>
      <c r="D690" s="10" t="s">
        <v>1691</v>
      </c>
      <c r="E690" s="11" t="s">
        <v>2189</v>
      </c>
      <c r="F690" s="12" t="s">
        <v>3588</v>
      </c>
      <c r="G690" s="12" t="s">
        <v>3589</v>
      </c>
    </row>
    <row r="691" spans="1:7" x14ac:dyDescent="0.25">
      <c r="A691" s="13" t="s">
        <v>3587</v>
      </c>
      <c r="B691" s="14" t="s">
        <v>1690</v>
      </c>
      <c r="C691" s="32" t="s">
        <v>677</v>
      </c>
      <c r="D691" s="14" t="s">
        <v>1692</v>
      </c>
      <c r="E691" s="15" t="s">
        <v>2189</v>
      </c>
      <c r="F691" s="16" t="s">
        <v>3590</v>
      </c>
      <c r="G691" s="16" t="s">
        <v>3591</v>
      </c>
    </row>
    <row r="692" spans="1:7" ht="24" x14ac:dyDescent="0.25">
      <c r="A692" s="9" t="s">
        <v>3587</v>
      </c>
      <c r="B692" s="10" t="s">
        <v>1690</v>
      </c>
      <c r="C692" s="31" t="s">
        <v>678</v>
      </c>
      <c r="D692" s="10" t="s">
        <v>1693</v>
      </c>
      <c r="E692" s="11" t="s">
        <v>2189</v>
      </c>
      <c r="F692" s="12" t="s">
        <v>3592</v>
      </c>
      <c r="G692" s="12" t="s">
        <v>3593</v>
      </c>
    </row>
    <row r="693" spans="1:7" x14ac:dyDescent="0.25">
      <c r="A693" s="13" t="s">
        <v>3587</v>
      </c>
      <c r="B693" s="14" t="s">
        <v>1690</v>
      </c>
      <c r="C693" s="32" t="s">
        <v>679</v>
      </c>
      <c r="D693" s="14" t="s">
        <v>1694</v>
      </c>
      <c r="E693" s="15" t="s">
        <v>2189</v>
      </c>
      <c r="F693" s="16" t="s">
        <v>3594</v>
      </c>
      <c r="G693" s="16" t="s">
        <v>3595</v>
      </c>
    </row>
    <row r="694" spans="1:7" ht="24" x14ac:dyDescent="0.25">
      <c r="A694" s="9" t="s">
        <v>3587</v>
      </c>
      <c r="B694" s="10" t="s">
        <v>1690</v>
      </c>
      <c r="C694" s="31" t="s">
        <v>680</v>
      </c>
      <c r="D694" s="10" t="s">
        <v>1695</v>
      </c>
      <c r="E694" s="11" t="s">
        <v>2189</v>
      </c>
      <c r="F694" s="12" t="s">
        <v>3596</v>
      </c>
      <c r="G694" s="12" t="s">
        <v>3597</v>
      </c>
    </row>
    <row r="695" spans="1:7" x14ac:dyDescent="0.25">
      <c r="A695" s="13" t="s">
        <v>3587</v>
      </c>
      <c r="B695" s="14" t="s">
        <v>1690</v>
      </c>
      <c r="C695" s="32" t="s">
        <v>681</v>
      </c>
      <c r="D695" s="14" t="s">
        <v>2031</v>
      </c>
      <c r="E695" s="15" t="s">
        <v>2189</v>
      </c>
      <c r="F695" s="16" t="s">
        <v>3598</v>
      </c>
      <c r="G695" s="16" t="s">
        <v>3599</v>
      </c>
    </row>
    <row r="696" spans="1:7" x14ac:dyDescent="0.25">
      <c r="A696" s="9" t="s">
        <v>3587</v>
      </c>
      <c r="B696" s="10" t="s">
        <v>1690</v>
      </c>
      <c r="C696" s="31" t="s">
        <v>682</v>
      </c>
      <c r="D696" s="10" t="s">
        <v>1696</v>
      </c>
      <c r="E696" s="11" t="s">
        <v>2189</v>
      </c>
      <c r="F696" s="12" t="s">
        <v>3600</v>
      </c>
      <c r="G696" s="12" t="s">
        <v>3601</v>
      </c>
    </row>
    <row r="697" spans="1:7" ht="24" x14ac:dyDescent="0.25">
      <c r="A697" s="13" t="s">
        <v>3587</v>
      </c>
      <c r="B697" s="14" t="s">
        <v>1690</v>
      </c>
      <c r="C697" s="32" t="s">
        <v>2049</v>
      </c>
      <c r="D697" s="14" t="s">
        <v>2126</v>
      </c>
      <c r="E697" s="15" t="s">
        <v>2189</v>
      </c>
      <c r="F697" s="16" t="s">
        <v>3602</v>
      </c>
      <c r="G697" s="16" t="s">
        <v>3603</v>
      </c>
    </row>
    <row r="698" spans="1:7" ht="24" x14ac:dyDescent="0.25">
      <c r="A698" s="9" t="s">
        <v>3587</v>
      </c>
      <c r="B698" s="10" t="s">
        <v>1690</v>
      </c>
      <c r="C698" s="31" t="s">
        <v>683</v>
      </c>
      <c r="D698" s="10" t="s">
        <v>1697</v>
      </c>
      <c r="E698" s="11" t="s">
        <v>2189</v>
      </c>
      <c r="F698" s="12" t="s">
        <v>3604</v>
      </c>
      <c r="G698" s="12" t="s">
        <v>3605</v>
      </c>
    </row>
    <row r="699" spans="1:7" x14ac:dyDescent="0.25">
      <c r="A699" s="13" t="s">
        <v>3587</v>
      </c>
      <c r="B699" s="14" t="s">
        <v>1690</v>
      </c>
      <c r="C699" s="32" t="s">
        <v>684</v>
      </c>
      <c r="D699" s="14" t="s">
        <v>1698</v>
      </c>
      <c r="E699" s="15" t="s">
        <v>2189</v>
      </c>
      <c r="F699" s="16" t="s">
        <v>3606</v>
      </c>
      <c r="G699" s="16" t="s">
        <v>3607</v>
      </c>
    </row>
    <row r="700" spans="1:7" ht="24" x14ac:dyDescent="0.25">
      <c r="A700" s="9" t="s">
        <v>3587</v>
      </c>
      <c r="B700" s="10" t="s">
        <v>1690</v>
      </c>
      <c r="C700" s="31" t="s">
        <v>685</v>
      </c>
      <c r="D700" s="10" t="s">
        <v>1699</v>
      </c>
      <c r="E700" s="11" t="s">
        <v>2189</v>
      </c>
      <c r="F700" s="12" t="s">
        <v>3608</v>
      </c>
      <c r="G700" s="12" t="s">
        <v>3609</v>
      </c>
    </row>
    <row r="701" spans="1:7" x14ac:dyDescent="0.25">
      <c r="A701" s="13" t="s">
        <v>3587</v>
      </c>
      <c r="B701" s="14" t="s">
        <v>1690</v>
      </c>
      <c r="C701" s="32" t="s">
        <v>686</v>
      </c>
      <c r="D701" s="14" t="s">
        <v>1095</v>
      </c>
      <c r="E701" s="15" t="s">
        <v>2189</v>
      </c>
      <c r="F701" s="16" t="s">
        <v>3610</v>
      </c>
      <c r="G701" s="16" t="s">
        <v>3611</v>
      </c>
    </row>
    <row r="702" spans="1:7" x14ac:dyDescent="0.25">
      <c r="A702" s="9" t="s">
        <v>3587</v>
      </c>
      <c r="B702" s="10" t="s">
        <v>1690</v>
      </c>
      <c r="C702" s="31" t="s">
        <v>687</v>
      </c>
      <c r="D702" s="10" t="s">
        <v>1673</v>
      </c>
      <c r="E702" s="11" t="s">
        <v>2189</v>
      </c>
      <c r="F702" s="12" t="s">
        <v>3612</v>
      </c>
      <c r="G702" s="12" t="s">
        <v>3613</v>
      </c>
    </row>
    <row r="703" spans="1:7" x14ac:dyDescent="0.25">
      <c r="A703" s="13" t="s">
        <v>3587</v>
      </c>
      <c r="B703" s="14" t="s">
        <v>1690</v>
      </c>
      <c r="C703" s="32" t="s">
        <v>688</v>
      </c>
      <c r="D703" s="14" t="s">
        <v>1700</v>
      </c>
      <c r="E703" s="15" t="s">
        <v>2189</v>
      </c>
      <c r="F703" s="16" t="s">
        <v>3614</v>
      </c>
      <c r="G703" s="16" t="s">
        <v>3615</v>
      </c>
    </row>
    <row r="704" spans="1:7" x14ac:dyDescent="0.25">
      <c r="A704" s="9" t="s">
        <v>3587</v>
      </c>
      <c r="B704" s="10" t="s">
        <v>1690</v>
      </c>
      <c r="C704" s="31" t="s">
        <v>689</v>
      </c>
      <c r="D704" s="10" t="s">
        <v>1701</v>
      </c>
      <c r="E704" s="11" t="s">
        <v>2189</v>
      </c>
      <c r="F704" s="12" t="s">
        <v>3616</v>
      </c>
      <c r="G704" s="12" t="s">
        <v>3617</v>
      </c>
    </row>
    <row r="705" spans="1:7" ht="24" x14ac:dyDescent="0.25">
      <c r="A705" s="13" t="s">
        <v>3587</v>
      </c>
      <c r="B705" s="14" t="s">
        <v>1690</v>
      </c>
      <c r="C705" s="32" t="s">
        <v>690</v>
      </c>
      <c r="D705" s="14" t="s">
        <v>1702</v>
      </c>
      <c r="E705" s="15" t="s">
        <v>2189</v>
      </c>
      <c r="F705" s="16" t="s">
        <v>3618</v>
      </c>
      <c r="G705" s="16" t="s">
        <v>3619</v>
      </c>
    </row>
    <row r="706" spans="1:7" x14ac:dyDescent="0.25">
      <c r="A706" s="9" t="s">
        <v>3587</v>
      </c>
      <c r="B706" s="10" t="s">
        <v>1690</v>
      </c>
      <c r="C706" s="31" t="s">
        <v>691</v>
      </c>
      <c r="D706" s="10" t="s">
        <v>1703</v>
      </c>
      <c r="E706" s="11" t="s">
        <v>2189</v>
      </c>
      <c r="F706" s="12" t="s">
        <v>3620</v>
      </c>
      <c r="G706" s="12" t="s">
        <v>3621</v>
      </c>
    </row>
    <row r="707" spans="1:7" x14ac:dyDescent="0.25">
      <c r="A707" s="13" t="s">
        <v>3587</v>
      </c>
      <c r="B707" s="14" t="s">
        <v>1690</v>
      </c>
      <c r="C707" s="32" t="s">
        <v>692</v>
      </c>
      <c r="D707" s="14" t="s">
        <v>1704</v>
      </c>
      <c r="E707" s="15" t="s">
        <v>2189</v>
      </c>
      <c r="F707" s="16" t="s">
        <v>3622</v>
      </c>
      <c r="G707" s="16" t="s">
        <v>3623</v>
      </c>
    </row>
    <row r="708" spans="1:7" ht="24" x14ac:dyDescent="0.25">
      <c r="A708" s="9" t="s">
        <v>3587</v>
      </c>
      <c r="B708" s="10" t="s">
        <v>1690</v>
      </c>
      <c r="C708" s="31" t="s">
        <v>693</v>
      </c>
      <c r="D708" s="10" t="s">
        <v>1705</v>
      </c>
      <c r="E708" s="11" t="s">
        <v>2189</v>
      </c>
      <c r="F708" s="12" t="s">
        <v>3624</v>
      </c>
      <c r="G708" s="12" t="s">
        <v>3625</v>
      </c>
    </row>
    <row r="709" spans="1:7" ht="24" x14ac:dyDescent="0.25">
      <c r="A709" s="13" t="s">
        <v>3587</v>
      </c>
      <c r="B709" s="14" t="s">
        <v>1690</v>
      </c>
      <c r="C709" s="32" t="s">
        <v>694</v>
      </c>
      <c r="D709" s="14" t="s">
        <v>1706</v>
      </c>
      <c r="E709" s="15" t="s">
        <v>2189</v>
      </c>
      <c r="F709" s="16" t="s">
        <v>3626</v>
      </c>
      <c r="G709" s="16" t="s">
        <v>3627</v>
      </c>
    </row>
    <row r="710" spans="1:7" ht="24" x14ac:dyDescent="0.25">
      <c r="A710" s="9" t="s">
        <v>3587</v>
      </c>
      <c r="B710" s="10" t="s">
        <v>1690</v>
      </c>
      <c r="C710" s="31" t="s">
        <v>695</v>
      </c>
      <c r="D710" s="10" t="s">
        <v>1707</v>
      </c>
      <c r="E710" s="11" t="s">
        <v>2189</v>
      </c>
      <c r="F710" s="12" t="s">
        <v>3628</v>
      </c>
      <c r="G710" s="12" t="s">
        <v>3629</v>
      </c>
    </row>
    <row r="711" spans="1:7" ht="24" x14ac:dyDescent="0.25">
      <c r="A711" s="13" t="s">
        <v>3587</v>
      </c>
      <c r="B711" s="14" t="s">
        <v>1690</v>
      </c>
      <c r="C711" s="32" t="s">
        <v>2019</v>
      </c>
      <c r="D711" s="14" t="s">
        <v>1708</v>
      </c>
      <c r="E711" s="15" t="s">
        <v>2189</v>
      </c>
      <c r="F711" s="16" t="s">
        <v>3630</v>
      </c>
      <c r="G711" s="16" t="s">
        <v>3631</v>
      </c>
    </row>
    <row r="712" spans="1:7" ht="24" x14ac:dyDescent="0.25">
      <c r="A712" s="9" t="s">
        <v>3587</v>
      </c>
      <c r="B712" s="10" t="s">
        <v>1690</v>
      </c>
      <c r="C712" s="31" t="s">
        <v>696</v>
      </c>
      <c r="D712" s="10" t="s">
        <v>1375</v>
      </c>
      <c r="E712" s="11" t="s">
        <v>2189</v>
      </c>
      <c r="F712" s="12" t="s">
        <v>3632</v>
      </c>
      <c r="G712" s="12" t="s">
        <v>3633</v>
      </c>
    </row>
    <row r="713" spans="1:7" x14ac:dyDescent="0.25">
      <c r="A713" s="13" t="s">
        <v>3587</v>
      </c>
      <c r="B713" s="14" t="s">
        <v>1690</v>
      </c>
      <c r="C713" s="32" t="s">
        <v>697</v>
      </c>
      <c r="D713" s="14" t="s">
        <v>1709</v>
      </c>
      <c r="E713" s="15" t="s">
        <v>2189</v>
      </c>
      <c r="F713" s="16" t="s">
        <v>3634</v>
      </c>
      <c r="G713" s="16" t="s">
        <v>3635</v>
      </c>
    </row>
    <row r="714" spans="1:7" ht="36" x14ac:dyDescent="0.25">
      <c r="A714" s="9" t="s">
        <v>3587</v>
      </c>
      <c r="B714" s="10" t="s">
        <v>1690</v>
      </c>
      <c r="C714" s="31" t="s">
        <v>698</v>
      </c>
      <c r="D714" s="10" t="s">
        <v>1710</v>
      </c>
      <c r="E714" s="11" t="s">
        <v>2189</v>
      </c>
      <c r="F714" s="12" t="s">
        <v>3636</v>
      </c>
      <c r="G714" s="12" t="s">
        <v>3637</v>
      </c>
    </row>
    <row r="715" spans="1:7" ht="24" x14ac:dyDescent="0.25">
      <c r="A715" s="13" t="s">
        <v>3587</v>
      </c>
      <c r="B715" s="14" t="s">
        <v>1690</v>
      </c>
      <c r="C715" s="32" t="s">
        <v>699</v>
      </c>
      <c r="D715" s="14" t="s">
        <v>1711</v>
      </c>
      <c r="E715" s="15" t="s">
        <v>2189</v>
      </c>
      <c r="F715" s="16" t="s">
        <v>3638</v>
      </c>
      <c r="G715" s="16" t="s">
        <v>3639</v>
      </c>
    </row>
    <row r="716" spans="1:7" ht="24" x14ac:dyDescent="0.25">
      <c r="A716" s="9" t="s">
        <v>3587</v>
      </c>
      <c r="B716" s="10" t="s">
        <v>1690</v>
      </c>
      <c r="C716" s="31" t="s">
        <v>2050</v>
      </c>
      <c r="D716" s="10" t="s">
        <v>2127</v>
      </c>
      <c r="E716" s="11" t="s">
        <v>2189</v>
      </c>
      <c r="F716" s="12" t="s">
        <v>3640</v>
      </c>
      <c r="G716" s="12" t="s">
        <v>3641</v>
      </c>
    </row>
    <row r="717" spans="1:7" x14ac:dyDescent="0.25">
      <c r="A717" s="13" t="s">
        <v>3587</v>
      </c>
      <c r="B717" s="14" t="s">
        <v>1690</v>
      </c>
      <c r="C717" s="32" t="s">
        <v>700</v>
      </c>
      <c r="D717" s="14" t="s">
        <v>1452</v>
      </c>
      <c r="E717" s="15" t="s">
        <v>2189</v>
      </c>
      <c r="F717" s="16" t="s">
        <v>3642</v>
      </c>
      <c r="G717" s="16" t="s">
        <v>3643</v>
      </c>
    </row>
    <row r="718" spans="1:7" ht="24" x14ac:dyDescent="0.25">
      <c r="A718" s="9" t="s">
        <v>3587</v>
      </c>
      <c r="B718" s="10" t="s">
        <v>1690</v>
      </c>
      <c r="C718" s="31" t="s">
        <v>701</v>
      </c>
      <c r="D718" s="10" t="s">
        <v>1712</v>
      </c>
      <c r="E718" s="11" t="s">
        <v>2189</v>
      </c>
      <c r="F718" s="12" t="s">
        <v>3644</v>
      </c>
      <c r="G718" s="12" t="s">
        <v>3645</v>
      </c>
    </row>
    <row r="719" spans="1:7" x14ac:dyDescent="0.25">
      <c r="A719" s="13" t="s">
        <v>3646</v>
      </c>
      <c r="B719" s="14" t="s">
        <v>1556</v>
      </c>
      <c r="C719" s="32" t="s">
        <v>702</v>
      </c>
      <c r="D719" s="14" t="s">
        <v>1713</v>
      </c>
      <c r="E719" s="15" t="s">
        <v>2189</v>
      </c>
      <c r="F719" s="16" t="s">
        <v>3647</v>
      </c>
      <c r="G719" s="16" t="s">
        <v>3648</v>
      </c>
    </row>
    <row r="720" spans="1:7" x14ac:dyDescent="0.25">
      <c r="A720" s="9" t="s">
        <v>3646</v>
      </c>
      <c r="B720" s="10" t="s">
        <v>1556</v>
      </c>
      <c r="C720" s="31" t="s">
        <v>703</v>
      </c>
      <c r="D720" s="10" t="s">
        <v>1508</v>
      </c>
      <c r="E720" s="11" t="s">
        <v>2189</v>
      </c>
      <c r="F720" s="12" t="s">
        <v>3649</v>
      </c>
      <c r="G720" s="12" t="s">
        <v>3650</v>
      </c>
    </row>
    <row r="721" spans="1:7" x14ac:dyDescent="0.25">
      <c r="A721" s="13" t="s">
        <v>3646</v>
      </c>
      <c r="B721" s="14" t="s">
        <v>1556</v>
      </c>
      <c r="C721" s="32" t="s">
        <v>704</v>
      </c>
      <c r="D721" s="14" t="s">
        <v>1714</v>
      </c>
      <c r="E721" s="15" t="s">
        <v>2189</v>
      </c>
      <c r="F721" s="16" t="s">
        <v>3651</v>
      </c>
      <c r="G721" s="16" t="s">
        <v>3652</v>
      </c>
    </row>
    <row r="722" spans="1:7" x14ac:dyDescent="0.25">
      <c r="A722" s="9" t="s">
        <v>3646</v>
      </c>
      <c r="B722" s="10" t="s">
        <v>1556</v>
      </c>
      <c r="C722" s="31" t="s">
        <v>705</v>
      </c>
      <c r="D722" s="10" t="s">
        <v>2032</v>
      </c>
      <c r="E722" s="11" t="s">
        <v>2189</v>
      </c>
      <c r="F722" s="12" t="s">
        <v>3653</v>
      </c>
      <c r="G722" s="12" t="s">
        <v>3654</v>
      </c>
    </row>
    <row r="723" spans="1:7" x14ac:dyDescent="0.25">
      <c r="A723" s="13" t="s">
        <v>3646</v>
      </c>
      <c r="B723" s="14" t="s">
        <v>1556</v>
      </c>
      <c r="C723" s="32" t="s">
        <v>706</v>
      </c>
      <c r="D723" s="14" t="s">
        <v>1715</v>
      </c>
      <c r="E723" s="15" t="s">
        <v>2189</v>
      </c>
      <c r="F723" s="16" t="s">
        <v>3655</v>
      </c>
      <c r="G723" s="16" t="s">
        <v>3656</v>
      </c>
    </row>
    <row r="724" spans="1:7" x14ac:dyDescent="0.25">
      <c r="A724" s="9" t="s">
        <v>3646</v>
      </c>
      <c r="B724" s="10" t="s">
        <v>1556</v>
      </c>
      <c r="C724" s="31" t="s">
        <v>707</v>
      </c>
      <c r="D724" s="10" t="s">
        <v>1716</v>
      </c>
      <c r="E724" s="11" t="s">
        <v>2189</v>
      </c>
      <c r="F724" s="12" t="s">
        <v>3657</v>
      </c>
      <c r="G724" s="12" t="s">
        <v>3658</v>
      </c>
    </row>
    <row r="725" spans="1:7" x14ac:dyDescent="0.25">
      <c r="A725" s="13" t="s">
        <v>3646</v>
      </c>
      <c r="B725" s="14" t="s">
        <v>1556</v>
      </c>
      <c r="C725" s="32" t="s">
        <v>708</v>
      </c>
      <c r="D725" s="14" t="s">
        <v>1242</v>
      </c>
      <c r="E725" s="15" t="s">
        <v>2189</v>
      </c>
      <c r="F725" s="16" t="s">
        <v>3659</v>
      </c>
      <c r="G725" s="16" t="s">
        <v>3660</v>
      </c>
    </row>
    <row r="726" spans="1:7" x14ac:dyDescent="0.25">
      <c r="A726" s="9" t="s">
        <v>3646</v>
      </c>
      <c r="B726" s="10" t="s">
        <v>1556</v>
      </c>
      <c r="C726" s="31" t="s">
        <v>709</v>
      </c>
      <c r="D726" s="10" t="s">
        <v>1717</v>
      </c>
      <c r="E726" s="11" t="s">
        <v>2189</v>
      </c>
      <c r="F726" s="12" t="s">
        <v>3661</v>
      </c>
      <c r="G726" s="12" t="s">
        <v>3662</v>
      </c>
    </row>
    <row r="727" spans="1:7" x14ac:dyDescent="0.25">
      <c r="A727" s="13" t="s">
        <v>3646</v>
      </c>
      <c r="B727" s="14" t="s">
        <v>1556</v>
      </c>
      <c r="C727" s="32" t="s">
        <v>710</v>
      </c>
      <c r="D727" s="14" t="s">
        <v>1718</v>
      </c>
      <c r="E727" s="15" t="s">
        <v>2189</v>
      </c>
      <c r="F727" s="16" t="s">
        <v>3663</v>
      </c>
      <c r="G727" s="16" t="s">
        <v>3664</v>
      </c>
    </row>
    <row r="728" spans="1:7" x14ac:dyDescent="0.25">
      <c r="A728" s="9" t="s">
        <v>3646</v>
      </c>
      <c r="B728" s="10" t="s">
        <v>1556</v>
      </c>
      <c r="C728" s="31" t="s">
        <v>711</v>
      </c>
      <c r="D728" s="10" t="s">
        <v>1719</v>
      </c>
      <c r="E728" s="11" t="s">
        <v>2189</v>
      </c>
      <c r="F728" s="12" t="s">
        <v>3665</v>
      </c>
      <c r="G728" s="12" t="s">
        <v>3666</v>
      </c>
    </row>
    <row r="729" spans="1:7" ht="24" x14ac:dyDescent="0.25">
      <c r="A729" s="13" t="s">
        <v>3646</v>
      </c>
      <c r="B729" s="14" t="s">
        <v>1556</v>
      </c>
      <c r="C729" s="32" t="s">
        <v>712</v>
      </c>
      <c r="D729" s="14" t="s">
        <v>1720</v>
      </c>
      <c r="E729" s="15" t="s">
        <v>2189</v>
      </c>
      <c r="F729" s="16" t="s">
        <v>3667</v>
      </c>
      <c r="G729" s="16" t="s">
        <v>3668</v>
      </c>
    </row>
    <row r="730" spans="1:7" x14ac:dyDescent="0.25">
      <c r="A730" s="9" t="s">
        <v>3646</v>
      </c>
      <c r="B730" s="10" t="s">
        <v>1556</v>
      </c>
      <c r="C730" s="31" t="s">
        <v>713</v>
      </c>
      <c r="D730" s="10" t="s">
        <v>1204</v>
      </c>
      <c r="E730" s="11" t="s">
        <v>2189</v>
      </c>
      <c r="F730" s="12" t="s">
        <v>3669</v>
      </c>
      <c r="G730" s="12" t="s">
        <v>3670</v>
      </c>
    </row>
    <row r="731" spans="1:7" ht="24" x14ac:dyDescent="0.25">
      <c r="A731" s="13" t="s">
        <v>3646</v>
      </c>
      <c r="B731" s="14" t="s">
        <v>1556</v>
      </c>
      <c r="C731" s="32" t="s">
        <v>714</v>
      </c>
      <c r="D731" s="14" t="s">
        <v>2033</v>
      </c>
      <c r="E731" s="15" t="s">
        <v>2189</v>
      </c>
      <c r="F731" s="16" t="s">
        <v>3671</v>
      </c>
      <c r="G731" s="16" t="s">
        <v>3672</v>
      </c>
    </row>
    <row r="732" spans="1:7" x14ac:dyDescent="0.25">
      <c r="A732" s="9" t="s">
        <v>3646</v>
      </c>
      <c r="B732" s="10" t="s">
        <v>1556</v>
      </c>
      <c r="C732" s="31" t="s">
        <v>715</v>
      </c>
      <c r="D732" s="10" t="s">
        <v>1721</v>
      </c>
      <c r="E732" s="11" t="s">
        <v>2189</v>
      </c>
      <c r="F732" s="12" t="s">
        <v>3673</v>
      </c>
      <c r="G732" s="12" t="s">
        <v>3674</v>
      </c>
    </row>
    <row r="733" spans="1:7" x14ac:dyDescent="0.25">
      <c r="A733" s="13" t="s">
        <v>3646</v>
      </c>
      <c r="B733" s="14" t="s">
        <v>1556</v>
      </c>
      <c r="C733" s="32" t="s">
        <v>716</v>
      </c>
      <c r="D733" s="14" t="s">
        <v>1722</v>
      </c>
      <c r="E733" s="15" t="s">
        <v>2189</v>
      </c>
      <c r="F733" s="16" t="s">
        <v>3675</v>
      </c>
      <c r="G733" s="16" t="s">
        <v>3676</v>
      </c>
    </row>
    <row r="734" spans="1:7" x14ac:dyDescent="0.25">
      <c r="A734" s="9" t="s">
        <v>3646</v>
      </c>
      <c r="B734" s="10" t="s">
        <v>1556</v>
      </c>
      <c r="C734" s="31" t="s">
        <v>717</v>
      </c>
      <c r="D734" s="10" t="s">
        <v>1723</v>
      </c>
      <c r="E734" s="11" t="s">
        <v>2189</v>
      </c>
      <c r="F734" s="12" t="s">
        <v>3677</v>
      </c>
      <c r="G734" s="12" t="s">
        <v>3678</v>
      </c>
    </row>
    <row r="735" spans="1:7" x14ac:dyDescent="0.25">
      <c r="A735" s="13" t="s">
        <v>3646</v>
      </c>
      <c r="B735" s="14" t="s">
        <v>1556</v>
      </c>
      <c r="C735" s="32" t="s">
        <v>718</v>
      </c>
      <c r="D735" s="14" t="s">
        <v>1724</v>
      </c>
      <c r="E735" s="15" t="s">
        <v>2189</v>
      </c>
      <c r="F735" s="16" t="s">
        <v>3679</v>
      </c>
      <c r="G735" s="16" t="s">
        <v>3680</v>
      </c>
    </row>
    <row r="736" spans="1:7" x14ac:dyDescent="0.25">
      <c r="A736" s="9" t="s">
        <v>3646</v>
      </c>
      <c r="B736" s="10" t="s">
        <v>1556</v>
      </c>
      <c r="C736" s="31" t="s">
        <v>719</v>
      </c>
      <c r="D736" s="10" t="s">
        <v>1725</v>
      </c>
      <c r="E736" s="11" t="s">
        <v>2189</v>
      </c>
      <c r="F736" s="12" t="s">
        <v>3681</v>
      </c>
      <c r="G736" s="12" t="s">
        <v>3682</v>
      </c>
    </row>
    <row r="737" spans="1:7" x14ac:dyDescent="0.25">
      <c r="A737" s="13" t="s">
        <v>3646</v>
      </c>
      <c r="B737" s="14" t="s">
        <v>1556</v>
      </c>
      <c r="C737" s="32" t="s">
        <v>720</v>
      </c>
      <c r="D737" s="14" t="s">
        <v>1726</v>
      </c>
      <c r="E737" s="15" t="s">
        <v>2189</v>
      </c>
      <c r="F737" s="16" t="s">
        <v>3683</v>
      </c>
      <c r="G737" s="16" t="s">
        <v>3684</v>
      </c>
    </row>
    <row r="738" spans="1:7" ht="24" x14ac:dyDescent="0.25">
      <c r="A738" s="9" t="s">
        <v>3646</v>
      </c>
      <c r="B738" s="10" t="s">
        <v>1556</v>
      </c>
      <c r="C738" s="31" t="s">
        <v>2111</v>
      </c>
      <c r="D738" s="10" t="s">
        <v>2180</v>
      </c>
      <c r="E738" s="11" t="s">
        <v>2189</v>
      </c>
      <c r="F738" s="12" t="s">
        <v>3685</v>
      </c>
      <c r="G738" s="12" t="s">
        <v>3686</v>
      </c>
    </row>
    <row r="739" spans="1:7" x14ac:dyDescent="0.25">
      <c r="A739" s="13" t="s">
        <v>3646</v>
      </c>
      <c r="B739" s="14" t="s">
        <v>1556</v>
      </c>
      <c r="C739" s="32" t="s">
        <v>721</v>
      </c>
      <c r="D739" s="14" t="s">
        <v>1403</v>
      </c>
      <c r="E739" s="15" t="s">
        <v>2189</v>
      </c>
      <c r="F739" s="16" t="s">
        <v>3687</v>
      </c>
      <c r="G739" s="16" t="s">
        <v>3688</v>
      </c>
    </row>
    <row r="740" spans="1:7" x14ac:dyDescent="0.25">
      <c r="A740" s="9" t="s">
        <v>3646</v>
      </c>
      <c r="B740" s="10" t="s">
        <v>1556</v>
      </c>
      <c r="C740" s="31" t="s">
        <v>722</v>
      </c>
      <c r="D740" s="10" t="s">
        <v>1727</v>
      </c>
      <c r="E740" s="11" t="s">
        <v>2189</v>
      </c>
      <c r="F740" s="12" t="s">
        <v>3689</v>
      </c>
      <c r="G740" s="12" t="s">
        <v>3690</v>
      </c>
    </row>
    <row r="741" spans="1:7" ht="24" x14ac:dyDescent="0.25">
      <c r="A741" s="13" t="s">
        <v>3646</v>
      </c>
      <c r="B741" s="14" t="s">
        <v>1556</v>
      </c>
      <c r="C741" s="32" t="s">
        <v>723</v>
      </c>
      <c r="D741" s="14" t="s">
        <v>1728</v>
      </c>
      <c r="E741" s="15" t="s">
        <v>2189</v>
      </c>
      <c r="F741" s="16" t="s">
        <v>3691</v>
      </c>
      <c r="G741" s="16" t="s">
        <v>3692</v>
      </c>
    </row>
    <row r="742" spans="1:7" ht="24" x14ac:dyDescent="0.25">
      <c r="A742" s="9" t="s">
        <v>3646</v>
      </c>
      <c r="B742" s="10" t="s">
        <v>1556</v>
      </c>
      <c r="C742" s="31" t="s">
        <v>724</v>
      </c>
      <c r="D742" s="10" t="s">
        <v>1729</v>
      </c>
      <c r="E742" s="11" t="s">
        <v>2189</v>
      </c>
      <c r="F742" s="12" t="s">
        <v>3693</v>
      </c>
      <c r="G742" s="12" t="s">
        <v>3694</v>
      </c>
    </row>
    <row r="743" spans="1:7" x14ac:dyDescent="0.25">
      <c r="A743" s="13" t="s">
        <v>3646</v>
      </c>
      <c r="B743" s="14" t="s">
        <v>1556</v>
      </c>
      <c r="C743" s="32" t="s">
        <v>725</v>
      </c>
      <c r="D743" s="14" t="s">
        <v>1730</v>
      </c>
      <c r="E743" s="15" t="s">
        <v>2189</v>
      </c>
      <c r="F743" s="16" t="s">
        <v>3695</v>
      </c>
      <c r="G743" s="16" t="s">
        <v>3696</v>
      </c>
    </row>
    <row r="744" spans="1:7" x14ac:dyDescent="0.25">
      <c r="A744" s="9" t="s">
        <v>3646</v>
      </c>
      <c r="B744" s="10" t="s">
        <v>1556</v>
      </c>
      <c r="C744" s="31" t="s">
        <v>726</v>
      </c>
      <c r="D744" s="10" t="s">
        <v>1731</v>
      </c>
      <c r="E744" s="11" t="s">
        <v>2189</v>
      </c>
      <c r="F744" s="12" t="s">
        <v>3697</v>
      </c>
      <c r="G744" s="12" t="s">
        <v>3698</v>
      </c>
    </row>
    <row r="745" spans="1:7" x14ac:dyDescent="0.25">
      <c r="A745" s="13" t="s">
        <v>3646</v>
      </c>
      <c r="B745" s="14" t="s">
        <v>1556</v>
      </c>
      <c r="C745" s="32" t="s">
        <v>727</v>
      </c>
      <c r="D745" s="14" t="s">
        <v>1732</v>
      </c>
      <c r="E745" s="15" t="s">
        <v>2189</v>
      </c>
      <c r="F745" s="16" t="s">
        <v>3699</v>
      </c>
      <c r="G745" s="16" t="s">
        <v>3700</v>
      </c>
    </row>
    <row r="746" spans="1:7" x14ac:dyDescent="0.25">
      <c r="A746" s="9" t="s">
        <v>3646</v>
      </c>
      <c r="B746" s="10" t="s">
        <v>1556</v>
      </c>
      <c r="C746" s="31" t="s">
        <v>728</v>
      </c>
      <c r="D746" s="10" t="s">
        <v>1733</v>
      </c>
      <c r="E746" s="11" t="s">
        <v>2189</v>
      </c>
      <c r="F746" s="12" t="s">
        <v>3701</v>
      </c>
      <c r="G746" s="12" t="s">
        <v>3702</v>
      </c>
    </row>
    <row r="747" spans="1:7" x14ac:dyDescent="0.25">
      <c r="A747" s="13" t="s">
        <v>3646</v>
      </c>
      <c r="B747" s="14" t="s">
        <v>1556</v>
      </c>
      <c r="C747" s="32" t="s">
        <v>729</v>
      </c>
      <c r="D747" s="14" t="s">
        <v>1734</v>
      </c>
      <c r="E747" s="15" t="s">
        <v>2189</v>
      </c>
      <c r="F747" s="16" t="s">
        <v>3703</v>
      </c>
      <c r="G747" s="16" t="s">
        <v>3704</v>
      </c>
    </row>
    <row r="748" spans="1:7" x14ac:dyDescent="0.25">
      <c r="A748" s="9" t="s">
        <v>3646</v>
      </c>
      <c r="B748" s="10" t="s">
        <v>1556</v>
      </c>
      <c r="C748" s="31" t="s">
        <v>730</v>
      </c>
      <c r="D748" s="10" t="s">
        <v>1735</v>
      </c>
      <c r="E748" s="11" t="s">
        <v>2189</v>
      </c>
      <c r="F748" s="12" t="s">
        <v>3705</v>
      </c>
      <c r="G748" s="12" t="s">
        <v>3706</v>
      </c>
    </row>
    <row r="749" spans="1:7" x14ac:dyDescent="0.25">
      <c r="A749" s="13" t="s">
        <v>3646</v>
      </c>
      <c r="B749" s="14" t="s">
        <v>1556</v>
      </c>
      <c r="C749" s="32" t="s">
        <v>731</v>
      </c>
      <c r="D749" s="14" t="s">
        <v>1736</v>
      </c>
      <c r="E749" s="15" t="s">
        <v>2189</v>
      </c>
      <c r="F749" s="16" t="s">
        <v>3707</v>
      </c>
      <c r="G749" s="16" t="s">
        <v>3708</v>
      </c>
    </row>
    <row r="750" spans="1:7" x14ac:dyDescent="0.25">
      <c r="A750" s="9" t="s">
        <v>3646</v>
      </c>
      <c r="B750" s="10" t="s">
        <v>1556</v>
      </c>
      <c r="C750" s="31" t="s">
        <v>732</v>
      </c>
      <c r="D750" s="10" t="s">
        <v>1737</v>
      </c>
      <c r="E750" s="11" t="s">
        <v>2189</v>
      </c>
      <c r="F750" s="12" t="s">
        <v>3709</v>
      </c>
      <c r="G750" s="12" t="s">
        <v>3710</v>
      </c>
    </row>
    <row r="751" spans="1:7" x14ac:dyDescent="0.25">
      <c r="A751" s="13" t="s">
        <v>3646</v>
      </c>
      <c r="B751" s="14" t="s">
        <v>1556</v>
      </c>
      <c r="C751" s="32" t="s">
        <v>733</v>
      </c>
      <c r="D751" s="14" t="s">
        <v>1108</v>
      </c>
      <c r="E751" s="15" t="s">
        <v>2189</v>
      </c>
      <c r="F751" s="16" t="s">
        <v>3711</v>
      </c>
      <c r="G751" s="16" t="s">
        <v>3712</v>
      </c>
    </row>
    <row r="752" spans="1:7" x14ac:dyDescent="0.25">
      <c r="A752" s="9" t="s">
        <v>3646</v>
      </c>
      <c r="B752" s="10" t="s">
        <v>1556</v>
      </c>
      <c r="C752" s="31" t="s">
        <v>734</v>
      </c>
      <c r="D752" s="10" t="s">
        <v>1738</v>
      </c>
      <c r="E752" s="11" t="s">
        <v>2189</v>
      </c>
      <c r="F752" s="12" t="s">
        <v>3713</v>
      </c>
      <c r="G752" s="12" t="s">
        <v>3714</v>
      </c>
    </row>
    <row r="753" spans="1:7" x14ac:dyDescent="0.25">
      <c r="A753" s="13" t="s">
        <v>3646</v>
      </c>
      <c r="B753" s="14" t="s">
        <v>1556</v>
      </c>
      <c r="C753" s="32" t="s">
        <v>735</v>
      </c>
      <c r="D753" s="14" t="s">
        <v>1739</v>
      </c>
      <c r="E753" s="15" t="s">
        <v>2189</v>
      </c>
      <c r="F753" s="16" t="s">
        <v>3715</v>
      </c>
      <c r="G753" s="16" t="s">
        <v>3716</v>
      </c>
    </row>
    <row r="754" spans="1:7" x14ac:dyDescent="0.25">
      <c r="A754" s="9" t="s">
        <v>3646</v>
      </c>
      <c r="B754" s="10" t="s">
        <v>1556</v>
      </c>
      <c r="C754" s="31" t="s">
        <v>736</v>
      </c>
      <c r="D754" s="10" t="s">
        <v>1740</v>
      </c>
      <c r="E754" s="11" t="s">
        <v>2189</v>
      </c>
      <c r="F754" s="12" t="s">
        <v>3717</v>
      </c>
      <c r="G754" s="12" t="s">
        <v>3718</v>
      </c>
    </row>
    <row r="755" spans="1:7" x14ac:dyDescent="0.25">
      <c r="A755" s="13" t="s">
        <v>3646</v>
      </c>
      <c r="B755" s="14" t="s">
        <v>1556</v>
      </c>
      <c r="C755" s="32" t="s">
        <v>737</v>
      </c>
      <c r="D755" s="14" t="s">
        <v>1741</v>
      </c>
      <c r="E755" s="15" t="s">
        <v>2189</v>
      </c>
      <c r="F755" s="16" t="s">
        <v>3719</v>
      </c>
      <c r="G755" s="16" t="s">
        <v>3720</v>
      </c>
    </row>
    <row r="756" spans="1:7" x14ac:dyDescent="0.25">
      <c r="A756" s="9" t="s">
        <v>3646</v>
      </c>
      <c r="B756" s="10" t="s">
        <v>1556</v>
      </c>
      <c r="C756" s="31" t="s">
        <v>738</v>
      </c>
      <c r="D756" s="10" t="s">
        <v>1742</v>
      </c>
      <c r="E756" s="11" t="s">
        <v>2189</v>
      </c>
      <c r="F756" s="12" t="s">
        <v>3721</v>
      </c>
      <c r="G756" s="12" t="s">
        <v>3722</v>
      </c>
    </row>
    <row r="757" spans="1:7" x14ac:dyDescent="0.25">
      <c r="A757" s="13" t="s">
        <v>3646</v>
      </c>
      <c r="B757" s="14" t="s">
        <v>1556</v>
      </c>
      <c r="C757" s="32" t="s">
        <v>739</v>
      </c>
      <c r="D757" s="14" t="s">
        <v>1555</v>
      </c>
      <c r="E757" s="15" t="s">
        <v>2189</v>
      </c>
      <c r="F757" s="16" t="s">
        <v>3723</v>
      </c>
      <c r="G757" s="16" t="s">
        <v>3724</v>
      </c>
    </row>
    <row r="758" spans="1:7" x14ac:dyDescent="0.25">
      <c r="A758" s="9" t="s">
        <v>3646</v>
      </c>
      <c r="B758" s="10" t="s">
        <v>1556</v>
      </c>
      <c r="C758" s="31" t="s">
        <v>740</v>
      </c>
      <c r="D758" s="10" t="s">
        <v>1556</v>
      </c>
      <c r="E758" s="11" t="s">
        <v>2189</v>
      </c>
      <c r="F758" s="12" t="s">
        <v>3725</v>
      </c>
      <c r="G758" s="12" t="s">
        <v>3726</v>
      </c>
    </row>
    <row r="759" spans="1:7" ht="24" x14ac:dyDescent="0.25">
      <c r="A759" s="13" t="s">
        <v>3646</v>
      </c>
      <c r="B759" s="14" t="s">
        <v>1556</v>
      </c>
      <c r="C759" s="32" t="s">
        <v>741</v>
      </c>
      <c r="D759" s="14" t="s">
        <v>1743</v>
      </c>
      <c r="E759" s="15" t="s">
        <v>2189</v>
      </c>
      <c r="F759" s="16" t="s">
        <v>3727</v>
      </c>
      <c r="G759" s="16" t="s">
        <v>3728</v>
      </c>
    </row>
    <row r="760" spans="1:7" x14ac:dyDescent="0.25">
      <c r="A760" s="9" t="s">
        <v>3646</v>
      </c>
      <c r="B760" s="10" t="s">
        <v>1556</v>
      </c>
      <c r="C760" s="31" t="s">
        <v>742</v>
      </c>
      <c r="D760" s="10" t="s">
        <v>1744</v>
      </c>
      <c r="E760" s="11" t="s">
        <v>2189</v>
      </c>
      <c r="F760" s="12" t="s">
        <v>3729</v>
      </c>
      <c r="G760" s="12" t="s">
        <v>3730</v>
      </c>
    </row>
    <row r="761" spans="1:7" ht="24" x14ac:dyDescent="0.25">
      <c r="A761" s="13" t="s">
        <v>3646</v>
      </c>
      <c r="B761" s="14" t="s">
        <v>1556</v>
      </c>
      <c r="C761" s="32" t="s">
        <v>743</v>
      </c>
      <c r="D761" s="14" t="s">
        <v>1745</v>
      </c>
      <c r="E761" s="15" t="s">
        <v>2189</v>
      </c>
      <c r="F761" s="16" t="s">
        <v>3731</v>
      </c>
      <c r="G761" s="16" t="s">
        <v>3732</v>
      </c>
    </row>
    <row r="762" spans="1:7" x14ac:dyDescent="0.25">
      <c r="A762" s="9" t="s">
        <v>3646</v>
      </c>
      <c r="B762" s="10" t="s">
        <v>1556</v>
      </c>
      <c r="C762" s="31" t="s">
        <v>744</v>
      </c>
      <c r="D762" s="10" t="s">
        <v>1746</v>
      </c>
      <c r="E762" s="11" t="s">
        <v>2189</v>
      </c>
      <c r="F762" s="12" t="s">
        <v>3733</v>
      </c>
      <c r="G762" s="12" t="s">
        <v>3734</v>
      </c>
    </row>
    <row r="763" spans="1:7" x14ac:dyDescent="0.25">
      <c r="A763" s="13" t="s">
        <v>3646</v>
      </c>
      <c r="B763" s="14" t="s">
        <v>1556</v>
      </c>
      <c r="C763" s="32" t="s">
        <v>745</v>
      </c>
      <c r="D763" s="14" t="s">
        <v>1747</v>
      </c>
      <c r="E763" s="15" t="s">
        <v>2189</v>
      </c>
      <c r="F763" s="16" t="s">
        <v>3735</v>
      </c>
      <c r="G763" s="16" t="s">
        <v>3736</v>
      </c>
    </row>
    <row r="764" spans="1:7" ht="24" x14ac:dyDescent="0.25">
      <c r="A764" s="9" t="s">
        <v>3646</v>
      </c>
      <c r="B764" s="10" t="s">
        <v>1556</v>
      </c>
      <c r="C764" s="31" t="s">
        <v>746</v>
      </c>
      <c r="D764" s="10" t="s">
        <v>1170</v>
      </c>
      <c r="E764" s="11" t="s">
        <v>2189</v>
      </c>
      <c r="F764" s="12" t="s">
        <v>3737</v>
      </c>
      <c r="G764" s="12" t="s">
        <v>3738</v>
      </c>
    </row>
    <row r="765" spans="1:7" x14ac:dyDescent="0.25">
      <c r="A765" s="13" t="s">
        <v>3646</v>
      </c>
      <c r="B765" s="14" t="s">
        <v>1556</v>
      </c>
      <c r="C765" s="32" t="s">
        <v>747</v>
      </c>
      <c r="D765" s="14" t="s">
        <v>1748</v>
      </c>
      <c r="E765" s="15" t="s">
        <v>2189</v>
      </c>
      <c r="F765" s="16" t="s">
        <v>3739</v>
      </c>
      <c r="G765" s="16" t="s">
        <v>3740</v>
      </c>
    </row>
    <row r="766" spans="1:7" x14ac:dyDescent="0.25">
      <c r="A766" s="9" t="s">
        <v>3646</v>
      </c>
      <c r="B766" s="10" t="s">
        <v>1556</v>
      </c>
      <c r="C766" s="31" t="s">
        <v>748</v>
      </c>
      <c r="D766" s="10" t="s">
        <v>1749</v>
      </c>
      <c r="E766" s="11" t="s">
        <v>2189</v>
      </c>
      <c r="F766" s="12" t="s">
        <v>3741</v>
      </c>
      <c r="G766" s="12" t="s">
        <v>3742</v>
      </c>
    </row>
    <row r="767" spans="1:7" x14ac:dyDescent="0.25">
      <c r="A767" s="13" t="s">
        <v>3646</v>
      </c>
      <c r="B767" s="14" t="s">
        <v>1556</v>
      </c>
      <c r="C767" s="32" t="s">
        <v>749</v>
      </c>
      <c r="D767" s="14" t="s">
        <v>1571</v>
      </c>
      <c r="E767" s="15" t="s">
        <v>2189</v>
      </c>
      <c r="F767" s="16" t="s">
        <v>3743</v>
      </c>
      <c r="G767" s="16" t="s">
        <v>3744</v>
      </c>
    </row>
    <row r="768" spans="1:7" ht="24" x14ac:dyDescent="0.25">
      <c r="A768" s="9" t="s">
        <v>3646</v>
      </c>
      <c r="B768" s="10" t="s">
        <v>1556</v>
      </c>
      <c r="C768" s="31" t="s">
        <v>750</v>
      </c>
      <c r="D768" s="10" t="s">
        <v>1750</v>
      </c>
      <c r="E768" s="11" t="s">
        <v>2189</v>
      </c>
      <c r="F768" s="12" t="s">
        <v>3745</v>
      </c>
      <c r="G768" s="12" t="s">
        <v>3746</v>
      </c>
    </row>
    <row r="769" spans="1:7" x14ac:dyDescent="0.25">
      <c r="A769" s="13" t="s">
        <v>3646</v>
      </c>
      <c r="B769" s="14" t="s">
        <v>1556</v>
      </c>
      <c r="C769" s="32" t="s">
        <v>751</v>
      </c>
      <c r="D769" s="14" t="s">
        <v>1751</v>
      </c>
      <c r="E769" s="15" t="s">
        <v>2189</v>
      </c>
      <c r="F769" s="16" t="s">
        <v>3747</v>
      </c>
      <c r="G769" s="16" t="s">
        <v>3748</v>
      </c>
    </row>
    <row r="770" spans="1:7" x14ac:dyDescent="0.25">
      <c r="A770" s="9" t="s">
        <v>3646</v>
      </c>
      <c r="B770" s="10" t="s">
        <v>1556</v>
      </c>
      <c r="C770" s="31" t="s">
        <v>752</v>
      </c>
      <c r="D770" s="10" t="s">
        <v>1752</v>
      </c>
      <c r="E770" s="11" t="s">
        <v>2189</v>
      </c>
      <c r="F770" s="12" t="s">
        <v>3749</v>
      </c>
      <c r="G770" s="12" t="s">
        <v>3750</v>
      </c>
    </row>
    <row r="771" spans="1:7" ht="24" x14ac:dyDescent="0.25">
      <c r="A771" s="13" t="s">
        <v>3646</v>
      </c>
      <c r="B771" s="14" t="s">
        <v>1556</v>
      </c>
      <c r="C771" s="32" t="s">
        <v>753</v>
      </c>
      <c r="D771" s="14" t="s">
        <v>1573</v>
      </c>
      <c r="E771" s="15" t="s">
        <v>2189</v>
      </c>
      <c r="F771" s="16" t="s">
        <v>3751</v>
      </c>
      <c r="G771" s="16" t="s">
        <v>3752</v>
      </c>
    </row>
    <row r="772" spans="1:7" ht="24" x14ac:dyDescent="0.25">
      <c r="A772" s="9" t="s">
        <v>3646</v>
      </c>
      <c r="B772" s="10" t="s">
        <v>1556</v>
      </c>
      <c r="C772" s="31" t="s">
        <v>754</v>
      </c>
      <c r="D772" s="10" t="s">
        <v>1753</v>
      </c>
      <c r="E772" s="11" t="s">
        <v>2189</v>
      </c>
      <c r="F772" s="12" t="s">
        <v>3753</v>
      </c>
      <c r="G772" s="12" t="s">
        <v>3754</v>
      </c>
    </row>
    <row r="773" spans="1:7" x14ac:dyDescent="0.25">
      <c r="A773" s="13" t="s">
        <v>3646</v>
      </c>
      <c r="B773" s="14" t="s">
        <v>1556</v>
      </c>
      <c r="C773" s="32" t="s">
        <v>2020</v>
      </c>
      <c r="D773" s="14" t="s">
        <v>1227</v>
      </c>
      <c r="E773" s="15" t="s">
        <v>2189</v>
      </c>
      <c r="F773" s="16" t="s">
        <v>3755</v>
      </c>
      <c r="G773" s="16" t="s">
        <v>3756</v>
      </c>
    </row>
    <row r="774" spans="1:7" ht="36" x14ac:dyDescent="0.25">
      <c r="A774" s="9" t="s">
        <v>3646</v>
      </c>
      <c r="B774" s="10" t="s">
        <v>1556</v>
      </c>
      <c r="C774" s="31" t="s">
        <v>755</v>
      </c>
      <c r="D774" s="10" t="s">
        <v>1754</v>
      </c>
      <c r="E774" s="11" t="s">
        <v>2189</v>
      </c>
      <c r="F774" s="12" t="s">
        <v>3757</v>
      </c>
      <c r="G774" s="12" t="s">
        <v>3758</v>
      </c>
    </row>
    <row r="775" spans="1:7" ht="24" x14ac:dyDescent="0.25">
      <c r="A775" s="13" t="s">
        <v>3646</v>
      </c>
      <c r="B775" s="14" t="s">
        <v>1556</v>
      </c>
      <c r="C775" s="32" t="s">
        <v>756</v>
      </c>
      <c r="D775" s="14" t="s">
        <v>1139</v>
      </c>
      <c r="E775" s="15" t="s">
        <v>2189</v>
      </c>
      <c r="F775" s="16" t="s">
        <v>3759</v>
      </c>
      <c r="G775" s="16" t="s">
        <v>3760</v>
      </c>
    </row>
    <row r="776" spans="1:7" x14ac:dyDescent="0.25">
      <c r="A776" s="9" t="s">
        <v>3646</v>
      </c>
      <c r="B776" s="10" t="s">
        <v>1556</v>
      </c>
      <c r="C776" s="31" t="s">
        <v>757</v>
      </c>
      <c r="D776" s="10" t="s">
        <v>1755</v>
      </c>
      <c r="E776" s="11" t="s">
        <v>2189</v>
      </c>
      <c r="F776" s="12" t="s">
        <v>3761</v>
      </c>
      <c r="G776" s="12" t="s">
        <v>3762</v>
      </c>
    </row>
    <row r="777" spans="1:7" x14ac:dyDescent="0.25">
      <c r="A777" s="13" t="s">
        <v>3646</v>
      </c>
      <c r="B777" s="14" t="s">
        <v>1556</v>
      </c>
      <c r="C777" s="32" t="s">
        <v>758</v>
      </c>
      <c r="D777" s="14" t="s">
        <v>1756</v>
      </c>
      <c r="E777" s="15" t="s">
        <v>2189</v>
      </c>
      <c r="F777" s="16" t="s">
        <v>3763</v>
      </c>
      <c r="G777" s="16" t="s">
        <v>3764</v>
      </c>
    </row>
    <row r="778" spans="1:7" x14ac:dyDescent="0.25">
      <c r="A778" s="9" t="s">
        <v>3646</v>
      </c>
      <c r="B778" s="10" t="s">
        <v>1556</v>
      </c>
      <c r="C778" s="31" t="s">
        <v>759</v>
      </c>
      <c r="D778" s="10" t="s">
        <v>1757</v>
      </c>
      <c r="E778" s="11" t="s">
        <v>2189</v>
      </c>
      <c r="F778" s="12" t="s">
        <v>3765</v>
      </c>
      <c r="G778" s="12" t="s">
        <v>3766</v>
      </c>
    </row>
    <row r="779" spans="1:7" x14ac:dyDescent="0.25">
      <c r="A779" s="13" t="s">
        <v>3646</v>
      </c>
      <c r="B779" s="14" t="s">
        <v>1556</v>
      </c>
      <c r="C779" s="32" t="s">
        <v>760</v>
      </c>
      <c r="D779" s="14" t="s">
        <v>1758</v>
      </c>
      <c r="E779" s="15" t="s">
        <v>2189</v>
      </c>
      <c r="F779" s="16" t="s">
        <v>3767</v>
      </c>
      <c r="G779" s="16" t="s">
        <v>3768</v>
      </c>
    </row>
    <row r="780" spans="1:7" ht="36" x14ac:dyDescent="0.25">
      <c r="A780" s="9" t="s">
        <v>3646</v>
      </c>
      <c r="B780" s="10" t="s">
        <v>1556</v>
      </c>
      <c r="C780" s="31" t="s">
        <v>761</v>
      </c>
      <c r="D780" s="10" t="s">
        <v>1759</v>
      </c>
      <c r="E780" s="11" t="s">
        <v>2189</v>
      </c>
      <c r="F780" s="12" t="s">
        <v>3769</v>
      </c>
      <c r="G780" s="12" t="s">
        <v>3770</v>
      </c>
    </row>
    <row r="781" spans="1:7" ht="24" x14ac:dyDescent="0.25">
      <c r="A781" s="13" t="s">
        <v>3646</v>
      </c>
      <c r="B781" s="14" t="s">
        <v>1556</v>
      </c>
      <c r="C781" s="32" t="s">
        <v>762</v>
      </c>
      <c r="D781" s="14" t="s">
        <v>1760</v>
      </c>
      <c r="E781" s="15" t="s">
        <v>2189</v>
      </c>
      <c r="F781" s="16" t="s">
        <v>3771</v>
      </c>
      <c r="G781" s="16" t="s">
        <v>3772</v>
      </c>
    </row>
    <row r="782" spans="1:7" ht="24" x14ac:dyDescent="0.25">
      <c r="A782" s="9" t="s">
        <v>3646</v>
      </c>
      <c r="B782" s="10" t="s">
        <v>1556</v>
      </c>
      <c r="C782" s="31" t="s">
        <v>763</v>
      </c>
      <c r="D782" s="10" t="s">
        <v>1761</v>
      </c>
      <c r="E782" s="11" t="s">
        <v>2189</v>
      </c>
      <c r="F782" s="12" t="s">
        <v>3773</v>
      </c>
      <c r="G782" s="12" t="s">
        <v>3774</v>
      </c>
    </row>
    <row r="783" spans="1:7" ht="24" x14ac:dyDescent="0.25">
      <c r="A783" s="13" t="s">
        <v>3775</v>
      </c>
      <c r="B783" s="14" t="s">
        <v>1762</v>
      </c>
      <c r="C783" s="32" t="s">
        <v>764</v>
      </c>
      <c r="D783" s="14" t="s">
        <v>2034</v>
      </c>
      <c r="E783" s="15" t="s">
        <v>2189</v>
      </c>
      <c r="F783" s="16" t="s">
        <v>3776</v>
      </c>
      <c r="G783" s="16" t="s">
        <v>3777</v>
      </c>
    </row>
    <row r="784" spans="1:7" ht="24" x14ac:dyDescent="0.25">
      <c r="A784" s="9" t="s">
        <v>3775</v>
      </c>
      <c r="B784" s="10" t="s">
        <v>1762</v>
      </c>
      <c r="C784" s="31" t="s">
        <v>765</v>
      </c>
      <c r="D784" s="10" t="s">
        <v>1763</v>
      </c>
      <c r="E784" s="11" t="s">
        <v>2189</v>
      </c>
      <c r="F784" s="12" t="s">
        <v>3778</v>
      </c>
      <c r="G784" s="12" t="s">
        <v>3779</v>
      </c>
    </row>
    <row r="785" spans="1:7" ht="24" x14ac:dyDescent="0.25">
      <c r="A785" s="13" t="s">
        <v>3775</v>
      </c>
      <c r="B785" s="14" t="s">
        <v>1762</v>
      </c>
      <c r="C785" s="32" t="s">
        <v>766</v>
      </c>
      <c r="D785" s="14" t="s">
        <v>1764</v>
      </c>
      <c r="E785" s="15" t="s">
        <v>2189</v>
      </c>
      <c r="F785" s="16" t="s">
        <v>3780</v>
      </c>
      <c r="G785" s="16" t="s">
        <v>3781</v>
      </c>
    </row>
    <row r="786" spans="1:7" ht="24" x14ac:dyDescent="0.25">
      <c r="A786" s="9" t="s">
        <v>3775</v>
      </c>
      <c r="B786" s="10" t="s">
        <v>1762</v>
      </c>
      <c r="C786" s="31" t="s">
        <v>767</v>
      </c>
      <c r="D786" s="10" t="s">
        <v>1765</v>
      </c>
      <c r="E786" s="11" t="s">
        <v>2189</v>
      </c>
      <c r="F786" s="12" t="s">
        <v>3782</v>
      </c>
      <c r="G786" s="12" t="s">
        <v>3783</v>
      </c>
    </row>
    <row r="787" spans="1:7" ht="24" x14ac:dyDescent="0.25">
      <c r="A787" s="13" t="s">
        <v>3775</v>
      </c>
      <c r="B787" s="14" t="s">
        <v>1762</v>
      </c>
      <c r="C787" s="32" t="s">
        <v>768</v>
      </c>
      <c r="D787" s="14" t="s">
        <v>1766</v>
      </c>
      <c r="E787" s="15" t="s">
        <v>2189</v>
      </c>
      <c r="F787" s="16" t="s">
        <v>3784</v>
      </c>
      <c r="G787" s="16" t="s">
        <v>3785</v>
      </c>
    </row>
    <row r="788" spans="1:7" ht="24" x14ac:dyDescent="0.25">
      <c r="A788" s="9" t="s">
        <v>3775</v>
      </c>
      <c r="B788" s="10" t="s">
        <v>1762</v>
      </c>
      <c r="C788" s="31" t="s">
        <v>769</v>
      </c>
      <c r="D788" s="10" t="s">
        <v>1767</v>
      </c>
      <c r="E788" s="11" t="s">
        <v>2189</v>
      </c>
      <c r="F788" s="12" t="s">
        <v>3786</v>
      </c>
      <c r="G788" s="12" t="s">
        <v>3787</v>
      </c>
    </row>
    <row r="789" spans="1:7" ht="24" x14ac:dyDescent="0.25">
      <c r="A789" s="13" t="s">
        <v>3775</v>
      </c>
      <c r="B789" s="14" t="s">
        <v>1762</v>
      </c>
      <c r="C789" s="32" t="s">
        <v>770</v>
      </c>
      <c r="D789" s="14" t="s">
        <v>1768</v>
      </c>
      <c r="E789" s="15" t="s">
        <v>2189</v>
      </c>
      <c r="F789" s="16" t="s">
        <v>3788</v>
      </c>
      <c r="G789" s="16" t="s">
        <v>3789</v>
      </c>
    </row>
    <row r="790" spans="1:7" ht="24" x14ac:dyDescent="0.25">
      <c r="A790" s="9" t="s">
        <v>3775</v>
      </c>
      <c r="B790" s="10" t="s">
        <v>1762</v>
      </c>
      <c r="C790" s="31" t="s">
        <v>771</v>
      </c>
      <c r="D790" s="10" t="s">
        <v>1769</v>
      </c>
      <c r="E790" s="11" t="s">
        <v>2189</v>
      </c>
      <c r="F790" s="12" t="s">
        <v>3790</v>
      </c>
      <c r="G790" s="12" t="s">
        <v>3791</v>
      </c>
    </row>
    <row r="791" spans="1:7" ht="24" x14ac:dyDescent="0.25">
      <c r="A791" s="13" t="s">
        <v>3775</v>
      </c>
      <c r="B791" s="14" t="s">
        <v>1762</v>
      </c>
      <c r="C791" s="32" t="s">
        <v>772</v>
      </c>
      <c r="D791" s="14" t="s">
        <v>1770</v>
      </c>
      <c r="E791" s="15" t="s">
        <v>2189</v>
      </c>
      <c r="F791" s="16" t="s">
        <v>3792</v>
      </c>
      <c r="G791" s="16" t="s">
        <v>3793</v>
      </c>
    </row>
    <row r="792" spans="1:7" ht="24" x14ac:dyDescent="0.25">
      <c r="A792" s="9" t="s">
        <v>3775</v>
      </c>
      <c r="B792" s="10" t="s">
        <v>1762</v>
      </c>
      <c r="C792" s="31" t="s">
        <v>773</v>
      </c>
      <c r="D792" s="10" t="s">
        <v>1771</v>
      </c>
      <c r="E792" s="11" t="s">
        <v>2189</v>
      </c>
      <c r="F792" s="12" t="s">
        <v>3794</v>
      </c>
      <c r="G792" s="12" t="s">
        <v>3795</v>
      </c>
    </row>
    <row r="793" spans="1:7" ht="24" x14ac:dyDescent="0.25">
      <c r="A793" s="13" t="s">
        <v>3775</v>
      </c>
      <c r="B793" s="14" t="s">
        <v>1762</v>
      </c>
      <c r="C793" s="32" t="s">
        <v>774</v>
      </c>
      <c r="D793" s="14" t="s">
        <v>1772</v>
      </c>
      <c r="E793" s="15" t="s">
        <v>2189</v>
      </c>
      <c r="F793" s="16" t="s">
        <v>3796</v>
      </c>
      <c r="G793" s="16" t="s">
        <v>3797</v>
      </c>
    </row>
    <row r="794" spans="1:7" ht="24" x14ac:dyDescent="0.25">
      <c r="A794" s="9" t="s">
        <v>3775</v>
      </c>
      <c r="B794" s="10" t="s">
        <v>1762</v>
      </c>
      <c r="C794" s="31" t="s">
        <v>775</v>
      </c>
      <c r="D794" s="10" t="s">
        <v>1773</v>
      </c>
      <c r="E794" s="11" t="s">
        <v>2189</v>
      </c>
      <c r="F794" s="12" t="s">
        <v>3798</v>
      </c>
      <c r="G794" s="12" t="s">
        <v>3799</v>
      </c>
    </row>
    <row r="795" spans="1:7" ht="24" x14ac:dyDescent="0.25">
      <c r="A795" s="13" t="s">
        <v>3775</v>
      </c>
      <c r="B795" s="14" t="s">
        <v>1762</v>
      </c>
      <c r="C795" s="32" t="s">
        <v>776</v>
      </c>
      <c r="D795" s="14" t="s">
        <v>1774</v>
      </c>
      <c r="E795" s="15" t="s">
        <v>2189</v>
      </c>
      <c r="F795" s="16" t="s">
        <v>3800</v>
      </c>
      <c r="G795" s="16" t="s">
        <v>3801</v>
      </c>
    </row>
    <row r="796" spans="1:7" ht="24" x14ac:dyDescent="0.25">
      <c r="A796" s="9" t="s">
        <v>3775</v>
      </c>
      <c r="B796" s="10" t="s">
        <v>1762</v>
      </c>
      <c r="C796" s="31" t="s">
        <v>777</v>
      </c>
      <c r="D796" s="10" t="s">
        <v>1775</v>
      </c>
      <c r="E796" s="11" t="s">
        <v>2189</v>
      </c>
      <c r="F796" s="12" t="s">
        <v>3802</v>
      </c>
      <c r="G796" s="12" t="s">
        <v>3803</v>
      </c>
    </row>
    <row r="797" spans="1:7" ht="24" x14ac:dyDescent="0.25">
      <c r="A797" s="13" t="s">
        <v>3775</v>
      </c>
      <c r="B797" s="14" t="s">
        <v>1762</v>
      </c>
      <c r="C797" s="32" t="s">
        <v>778</v>
      </c>
      <c r="D797" s="14" t="s">
        <v>1776</v>
      </c>
      <c r="E797" s="15" t="s">
        <v>2189</v>
      </c>
      <c r="F797" s="16" t="s">
        <v>3804</v>
      </c>
      <c r="G797" s="16" t="s">
        <v>3805</v>
      </c>
    </row>
    <row r="798" spans="1:7" ht="24" x14ac:dyDescent="0.25">
      <c r="A798" s="9" t="s">
        <v>3775</v>
      </c>
      <c r="B798" s="10" t="s">
        <v>1762</v>
      </c>
      <c r="C798" s="31" t="s">
        <v>779</v>
      </c>
      <c r="D798" s="10" t="s">
        <v>1777</v>
      </c>
      <c r="E798" s="11" t="s">
        <v>2189</v>
      </c>
      <c r="F798" s="12" t="s">
        <v>3806</v>
      </c>
      <c r="G798" s="12" t="s">
        <v>3807</v>
      </c>
    </row>
    <row r="799" spans="1:7" ht="24" x14ac:dyDescent="0.25">
      <c r="A799" s="13" t="s">
        <v>3775</v>
      </c>
      <c r="B799" s="14" t="s">
        <v>1762</v>
      </c>
      <c r="C799" s="32" t="s">
        <v>780</v>
      </c>
      <c r="D799" s="14" t="s">
        <v>1778</v>
      </c>
      <c r="E799" s="15" t="s">
        <v>2189</v>
      </c>
      <c r="F799" s="16" t="s">
        <v>3808</v>
      </c>
      <c r="G799" s="16" t="s">
        <v>3809</v>
      </c>
    </row>
    <row r="800" spans="1:7" ht="24" x14ac:dyDescent="0.25">
      <c r="A800" s="9" t="s">
        <v>3775</v>
      </c>
      <c r="B800" s="10" t="s">
        <v>1762</v>
      </c>
      <c r="C800" s="31" t="s">
        <v>781</v>
      </c>
      <c r="D800" s="10" t="s">
        <v>1779</v>
      </c>
      <c r="E800" s="11" t="s">
        <v>2189</v>
      </c>
      <c r="F800" s="12" t="s">
        <v>3810</v>
      </c>
      <c r="G800" s="12" t="s">
        <v>3811</v>
      </c>
    </row>
    <row r="801" spans="1:7" ht="24" x14ac:dyDescent="0.25">
      <c r="A801" s="13" t="s">
        <v>3775</v>
      </c>
      <c r="B801" s="14" t="s">
        <v>1762</v>
      </c>
      <c r="C801" s="32" t="s">
        <v>782</v>
      </c>
      <c r="D801" s="14" t="s">
        <v>1780</v>
      </c>
      <c r="E801" s="15" t="s">
        <v>2189</v>
      </c>
      <c r="F801" s="16" t="s">
        <v>3812</v>
      </c>
      <c r="G801" s="16" t="s">
        <v>3813</v>
      </c>
    </row>
    <row r="802" spans="1:7" ht="24" x14ac:dyDescent="0.25">
      <c r="A802" s="9" t="s">
        <v>3775</v>
      </c>
      <c r="B802" s="10" t="s">
        <v>1762</v>
      </c>
      <c r="C802" s="31" t="s">
        <v>783</v>
      </c>
      <c r="D802" s="10" t="s">
        <v>1781</v>
      </c>
      <c r="E802" s="11" t="s">
        <v>2189</v>
      </c>
      <c r="F802" s="12" t="s">
        <v>3814</v>
      </c>
      <c r="G802" s="12" t="s">
        <v>3815</v>
      </c>
    </row>
    <row r="803" spans="1:7" ht="24" x14ac:dyDescent="0.25">
      <c r="A803" s="13" t="s">
        <v>3775</v>
      </c>
      <c r="B803" s="14" t="s">
        <v>1762</v>
      </c>
      <c r="C803" s="32" t="s">
        <v>784</v>
      </c>
      <c r="D803" s="14" t="s">
        <v>1782</v>
      </c>
      <c r="E803" s="15" t="s">
        <v>2189</v>
      </c>
      <c r="F803" s="16" t="s">
        <v>3816</v>
      </c>
      <c r="G803" s="16" t="s">
        <v>3817</v>
      </c>
    </row>
    <row r="804" spans="1:7" ht="24" x14ac:dyDescent="0.25">
      <c r="A804" s="9" t="s">
        <v>3775</v>
      </c>
      <c r="B804" s="10" t="s">
        <v>1762</v>
      </c>
      <c r="C804" s="31" t="s">
        <v>785</v>
      </c>
      <c r="D804" s="10" t="s">
        <v>1783</v>
      </c>
      <c r="E804" s="11" t="s">
        <v>2189</v>
      </c>
      <c r="F804" s="12" t="s">
        <v>3818</v>
      </c>
      <c r="G804" s="12" t="s">
        <v>3819</v>
      </c>
    </row>
    <row r="805" spans="1:7" ht="24" x14ac:dyDescent="0.25">
      <c r="A805" s="13" t="s">
        <v>3775</v>
      </c>
      <c r="B805" s="14" t="s">
        <v>1762</v>
      </c>
      <c r="C805" s="32" t="s">
        <v>786</v>
      </c>
      <c r="D805" s="14" t="s">
        <v>1784</v>
      </c>
      <c r="E805" s="15" t="s">
        <v>2189</v>
      </c>
      <c r="F805" s="16" t="s">
        <v>3820</v>
      </c>
      <c r="G805" s="16" t="s">
        <v>3821</v>
      </c>
    </row>
    <row r="806" spans="1:7" ht="24" x14ac:dyDescent="0.25">
      <c r="A806" s="9" t="s">
        <v>3775</v>
      </c>
      <c r="B806" s="10" t="s">
        <v>1762</v>
      </c>
      <c r="C806" s="31" t="s">
        <v>787</v>
      </c>
      <c r="D806" s="10" t="s">
        <v>1785</v>
      </c>
      <c r="E806" s="11" t="s">
        <v>2189</v>
      </c>
      <c r="F806" s="12" t="s">
        <v>3822</v>
      </c>
      <c r="G806" s="12" t="s">
        <v>3823</v>
      </c>
    </row>
    <row r="807" spans="1:7" ht="24" x14ac:dyDescent="0.25">
      <c r="A807" s="13" t="s">
        <v>3775</v>
      </c>
      <c r="B807" s="14" t="s">
        <v>1762</v>
      </c>
      <c r="C807" s="32" t="s">
        <v>788</v>
      </c>
      <c r="D807" s="14" t="s">
        <v>1786</v>
      </c>
      <c r="E807" s="15" t="s">
        <v>2189</v>
      </c>
      <c r="F807" s="16" t="s">
        <v>3824</v>
      </c>
      <c r="G807" s="16" t="s">
        <v>3825</v>
      </c>
    </row>
    <row r="808" spans="1:7" ht="24" x14ac:dyDescent="0.25">
      <c r="A808" s="9" t="s">
        <v>3775</v>
      </c>
      <c r="B808" s="10" t="s">
        <v>1762</v>
      </c>
      <c r="C808" s="31" t="s">
        <v>789</v>
      </c>
      <c r="D808" s="10" t="s">
        <v>1787</v>
      </c>
      <c r="E808" s="11" t="s">
        <v>2189</v>
      </c>
      <c r="F808" s="12" t="s">
        <v>3826</v>
      </c>
      <c r="G808" s="12" t="s">
        <v>3827</v>
      </c>
    </row>
    <row r="809" spans="1:7" ht="24" x14ac:dyDescent="0.25">
      <c r="A809" s="13" t="s">
        <v>3775</v>
      </c>
      <c r="B809" s="14" t="s">
        <v>1762</v>
      </c>
      <c r="C809" s="32" t="s">
        <v>790</v>
      </c>
      <c r="D809" s="14" t="s">
        <v>1788</v>
      </c>
      <c r="E809" s="15" t="s">
        <v>2189</v>
      </c>
      <c r="F809" s="16" t="s">
        <v>3828</v>
      </c>
      <c r="G809" s="16" t="s">
        <v>3829</v>
      </c>
    </row>
    <row r="810" spans="1:7" ht="24" x14ac:dyDescent="0.25">
      <c r="A810" s="9" t="s">
        <v>3775</v>
      </c>
      <c r="B810" s="10" t="s">
        <v>1762</v>
      </c>
      <c r="C810" s="31" t="s">
        <v>791</v>
      </c>
      <c r="D810" s="10" t="s">
        <v>1041</v>
      </c>
      <c r="E810" s="11" t="s">
        <v>2189</v>
      </c>
      <c r="F810" s="12" t="s">
        <v>3830</v>
      </c>
      <c r="G810" s="12" t="s">
        <v>3831</v>
      </c>
    </row>
    <row r="811" spans="1:7" ht="24" x14ac:dyDescent="0.25">
      <c r="A811" s="13" t="s">
        <v>3775</v>
      </c>
      <c r="B811" s="14" t="s">
        <v>1762</v>
      </c>
      <c r="C811" s="32" t="s">
        <v>792</v>
      </c>
      <c r="D811" s="14" t="s">
        <v>1789</v>
      </c>
      <c r="E811" s="15" t="s">
        <v>2189</v>
      </c>
      <c r="F811" s="16" t="s">
        <v>3832</v>
      </c>
      <c r="G811" s="16" t="s">
        <v>3833</v>
      </c>
    </row>
    <row r="812" spans="1:7" ht="24" x14ac:dyDescent="0.25">
      <c r="A812" s="9" t="s">
        <v>3775</v>
      </c>
      <c r="B812" s="10" t="s">
        <v>1762</v>
      </c>
      <c r="C812" s="31" t="s">
        <v>793</v>
      </c>
      <c r="D812" s="10" t="s">
        <v>1790</v>
      </c>
      <c r="E812" s="11" t="s">
        <v>2189</v>
      </c>
      <c r="F812" s="12" t="s">
        <v>3834</v>
      </c>
      <c r="G812" s="12" t="s">
        <v>3835</v>
      </c>
    </row>
    <row r="813" spans="1:7" ht="24" x14ac:dyDescent="0.25">
      <c r="A813" s="13" t="s">
        <v>3775</v>
      </c>
      <c r="B813" s="14" t="s">
        <v>1762</v>
      </c>
      <c r="C813" s="32" t="s">
        <v>794</v>
      </c>
      <c r="D813" s="14" t="s">
        <v>1791</v>
      </c>
      <c r="E813" s="15" t="s">
        <v>2189</v>
      </c>
      <c r="F813" s="16" t="s">
        <v>3836</v>
      </c>
      <c r="G813" s="16" t="s">
        <v>3837</v>
      </c>
    </row>
    <row r="814" spans="1:7" ht="24" x14ac:dyDescent="0.25">
      <c r="A814" s="9" t="s">
        <v>3775</v>
      </c>
      <c r="B814" s="10" t="s">
        <v>1762</v>
      </c>
      <c r="C814" s="31" t="s">
        <v>795</v>
      </c>
      <c r="D814" s="10" t="s">
        <v>1574</v>
      </c>
      <c r="E814" s="11" t="s">
        <v>2189</v>
      </c>
      <c r="F814" s="12" t="s">
        <v>3838</v>
      </c>
      <c r="G814" s="12" t="s">
        <v>3839</v>
      </c>
    </row>
    <row r="815" spans="1:7" ht="24" x14ac:dyDescent="0.25">
      <c r="A815" s="13" t="s">
        <v>3775</v>
      </c>
      <c r="B815" s="14" t="s">
        <v>1762</v>
      </c>
      <c r="C815" s="32" t="s">
        <v>796</v>
      </c>
      <c r="D815" s="14" t="s">
        <v>1792</v>
      </c>
      <c r="E815" s="15" t="s">
        <v>2189</v>
      </c>
      <c r="F815" s="16" t="s">
        <v>3840</v>
      </c>
      <c r="G815" s="16" t="s">
        <v>3841</v>
      </c>
    </row>
    <row r="816" spans="1:7" ht="24" x14ac:dyDescent="0.25">
      <c r="A816" s="9" t="s">
        <v>3775</v>
      </c>
      <c r="B816" s="10" t="s">
        <v>1762</v>
      </c>
      <c r="C816" s="31" t="s">
        <v>797</v>
      </c>
      <c r="D816" s="10" t="s">
        <v>1793</v>
      </c>
      <c r="E816" s="11" t="s">
        <v>2189</v>
      </c>
      <c r="F816" s="12" t="s">
        <v>3842</v>
      </c>
      <c r="G816" s="12" t="s">
        <v>3843</v>
      </c>
    </row>
    <row r="817" spans="1:7" ht="24" x14ac:dyDescent="0.25">
      <c r="A817" s="13" t="s">
        <v>3775</v>
      </c>
      <c r="B817" s="14" t="s">
        <v>1762</v>
      </c>
      <c r="C817" s="32" t="s">
        <v>798</v>
      </c>
      <c r="D817" s="14" t="s">
        <v>1794</v>
      </c>
      <c r="E817" s="15" t="s">
        <v>2189</v>
      </c>
      <c r="F817" s="16" t="s">
        <v>3844</v>
      </c>
      <c r="G817" s="16" t="s">
        <v>3845</v>
      </c>
    </row>
    <row r="818" spans="1:7" ht="24" x14ac:dyDescent="0.25">
      <c r="A818" s="9" t="s">
        <v>3775</v>
      </c>
      <c r="B818" s="10" t="s">
        <v>1762</v>
      </c>
      <c r="C818" s="31" t="s">
        <v>799</v>
      </c>
      <c r="D818" s="10" t="s">
        <v>1795</v>
      </c>
      <c r="E818" s="11" t="s">
        <v>2189</v>
      </c>
      <c r="F818" s="12" t="s">
        <v>3846</v>
      </c>
      <c r="G818" s="12" t="s">
        <v>3847</v>
      </c>
    </row>
    <row r="819" spans="1:7" ht="24" x14ac:dyDescent="0.25">
      <c r="A819" s="13" t="s">
        <v>3775</v>
      </c>
      <c r="B819" s="14" t="s">
        <v>1762</v>
      </c>
      <c r="C819" s="32" t="s">
        <v>800</v>
      </c>
      <c r="D819" s="14" t="s">
        <v>1796</v>
      </c>
      <c r="E819" s="15" t="s">
        <v>2189</v>
      </c>
      <c r="F819" s="16" t="s">
        <v>3848</v>
      </c>
      <c r="G819" s="16" t="s">
        <v>3849</v>
      </c>
    </row>
    <row r="820" spans="1:7" ht="24" x14ac:dyDescent="0.25">
      <c r="A820" s="9" t="s">
        <v>3775</v>
      </c>
      <c r="B820" s="10" t="s">
        <v>1762</v>
      </c>
      <c r="C820" s="31" t="s">
        <v>801</v>
      </c>
      <c r="D820" s="10" t="s">
        <v>1150</v>
      </c>
      <c r="E820" s="11" t="s">
        <v>2189</v>
      </c>
      <c r="F820" s="12" t="s">
        <v>3850</v>
      </c>
      <c r="G820" s="12" t="s">
        <v>3851</v>
      </c>
    </row>
    <row r="821" spans="1:7" ht="24" x14ac:dyDescent="0.25">
      <c r="A821" s="13" t="s">
        <v>3775</v>
      </c>
      <c r="B821" s="14" t="s">
        <v>1762</v>
      </c>
      <c r="C821" s="32" t="s">
        <v>802</v>
      </c>
      <c r="D821" s="14" t="s">
        <v>1797</v>
      </c>
      <c r="E821" s="15" t="s">
        <v>2189</v>
      </c>
      <c r="F821" s="16" t="s">
        <v>3852</v>
      </c>
      <c r="G821" s="16" t="s">
        <v>3853</v>
      </c>
    </row>
    <row r="822" spans="1:7" ht="24" x14ac:dyDescent="0.25">
      <c r="A822" s="9" t="s">
        <v>3775</v>
      </c>
      <c r="B822" s="10" t="s">
        <v>1762</v>
      </c>
      <c r="C822" s="31" t="s">
        <v>803</v>
      </c>
      <c r="D822" s="10" t="s">
        <v>1798</v>
      </c>
      <c r="E822" s="11" t="s">
        <v>2189</v>
      </c>
      <c r="F822" s="12" t="s">
        <v>3854</v>
      </c>
      <c r="G822" s="12" t="s">
        <v>3855</v>
      </c>
    </row>
    <row r="823" spans="1:7" x14ac:dyDescent="0.25">
      <c r="A823" s="13" t="s">
        <v>3856</v>
      </c>
      <c r="B823" s="14" t="s">
        <v>1810</v>
      </c>
      <c r="C823" s="32" t="s">
        <v>816</v>
      </c>
      <c r="D823" s="14" t="s">
        <v>1059</v>
      </c>
      <c r="E823" s="15" t="s">
        <v>2189</v>
      </c>
      <c r="F823" s="16" t="s">
        <v>3857</v>
      </c>
      <c r="G823" s="16" t="s">
        <v>3858</v>
      </c>
    </row>
    <row r="824" spans="1:7" x14ac:dyDescent="0.25">
      <c r="A824" s="9" t="s">
        <v>3856</v>
      </c>
      <c r="B824" s="10" t="s">
        <v>1810</v>
      </c>
      <c r="C824" s="31" t="s">
        <v>817</v>
      </c>
      <c r="D824" s="10" t="s">
        <v>1244</v>
      </c>
      <c r="E824" s="11" t="s">
        <v>2189</v>
      </c>
      <c r="F824" s="12" t="s">
        <v>3859</v>
      </c>
      <c r="G824" s="12" t="s">
        <v>3860</v>
      </c>
    </row>
    <row r="825" spans="1:7" x14ac:dyDescent="0.25">
      <c r="A825" s="13" t="s">
        <v>3856</v>
      </c>
      <c r="B825" s="14" t="s">
        <v>1810</v>
      </c>
      <c r="C825" s="32" t="s">
        <v>818</v>
      </c>
      <c r="D825" s="14" t="s">
        <v>1811</v>
      </c>
      <c r="E825" s="15" t="s">
        <v>2189</v>
      </c>
      <c r="F825" s="16" t="s">
        <v>3861</v>
      </c>
      <c r="G825" s="16" t="s">
        <v>3862</v>
      </c>
    </row>
    <row r="826" spans="1:7" x14ac:dyDescent="0.25">
      <c r="A826" s="9" t="s">
        <v>3856</v>
      </c>
      <c r="B826" s="10" t="s">
        <v>1810</v>
      </c>
      <c r="C826" s="31" t="s">
        <v>819</v>
      </c>
      <c r="D826" s="10" t="s">
        <v>1812</v>
      </c>
      <c r="E826" s="11" t="s">
        <v>2189</v>
      </c>
      <c r="F826" s="12" t="s">
        <v>3863</v>
      </c>
      <c r="G826" s="12" t="s">
        <v>3864</v>
      </c>
    </row>
    <row r="827" spans="1:7" x14ac:dyDescent="0.25">
      <c r="A827" s="13" t="s">
        <v>3856</v>
      </c>
      <c r="B827" s="14" t="s">
        <v>1810</v>
      </c>
      <c r="C827" s="32" t="s">
        <v>820</v>
      </c>
      <c r="D827" s="14" t="s">
        <v>1204</v>
      </c>
      <c r="E827" s="15" t="s">
        <v>2189</v>
      </c>
      <c r="F827" s="16" t="s">
        <v>3865</v>
      </c>
      <c r="G827" s="16" t="s">
        <v>3866</v>
      </c>
    </row>
    <row r="828" spans="1:7" x14ac:dyDescent="0.25">
      <c r="A828" s="9" t="s">
        <v>3856</v>
      </c>
      <c r="B828" s="10" t="s">
        <v>1810</v>
      </c>
      <c r="C828" s="31" t="s">
        <v>821</v>
      </c>
      <c r="D828" s="10" t="s">
        <v>1813</v>
      </c>
      <c r="E828" s="11" t="s">
        <v>2189</v>
      </c>
      <c r="F828" s="12" t="s">
        <v>3867</v>
      </c>
      <c r="G828" s="12" t="s">
        <v>3868</v>
      </c>
    </row>
    <row r="829" spans="1:7" x14ac:dyDescent="0.25">
      <c r="A829" s="13" t="s">
        <v>3856</v>
      </c>
      <c r="B829" s="14" t="s">
        <v>1810</v>
      </c>
      <c r="C829" s="32" t="s">
        <v>822</v>
      </c>
      <c r="D829" s="14" t="s">
        <v>1814</v>
      </c>
      <c r="E829" s="15" t="s">
        <v>2189</v>
      </c>
      <c r="F829" s="16" t="s">
        <v>3869</v>
      </c>
      <c r="G829" s="16" t="s">
        <v>3870</v>
      </c>
    </row>
    <row r="830" spans="1:7" x14ac:dyDescent="0.25">
      <c r="A830" s="9" t="s">
        <v>3856</v>
      </c>
      <c r="B830" s="10" t="s">
        <v>1810</v>
      </c>
      <c r="C830" s="31" t="s">
        <v>823</v>
      </c>
      <c r="D830" s="10" t="s">
        <v>1815</v>
      </c>
      <c r="E830" s="11" t="s">
        <v>2189</v>
      </c>
      <c r="F830" s="12" t="s">
        <v>3871</v>
      </c>
      <c r="G830" s="12" t="s">
        <v>3872</v>
      </c>
    </row>
    <row r="831" spans="1:7" ht="24" x14ac:dyDescent="0.25">
      <c r="A831" s="13" t="s">
        <v>3856</v>
      </c>
      <c r="B831" s="14" t="s">
        <v>1810</v>
      </c>
      <c r="C831" s="32" t="s">
        <v>824</v>
      </c>
      <c r="D831" s="14" t="s">
        <v>1816</v>
      </c>
      <c r="E831" s="15" t="s">
        <v>2189</v>
      </c>
      <c r="F831" s="16" t="s">
        <v>3873</v>
      </c>
      <c r="G831" s="16" t="s">
        <v>3874</v>
      </c>
    </row>
    <row r="832" spans="1:7" x14ac:dyDescent="0.25">
      <c r="A832" s="9" t="s">
        <v>3856</v>
      </c>
      <c r="B832" s="10" t="s">
        <v>1810</v>
      </c>
      <c r="C832" s="31" t="s">
        <v>825</v>
      </c>
      <c r="D832" s="10" t="s">
        <v>1817</v>
      </c>
      <c r="E832" s="11" t="s">
        <v>2189</v>
      </c>
      <c r="F832" s="12" t="s">
        <v>3875</v>
      </c>
      <c r="G832" s="12" t="s">
        <v>3876</v>
      </c>
    </row>
    <row r="833" spans="1:7" x14ac:dyDescent="0.25">
      <c r="A833" s="13" t="s">
        <v>3856</v>
      </c>
      <c r="B833" s="14" t="s">
        <v>1810</v>
      </c>
      <c r="C833" s="32" t="s">
        <v>826</v>
      </c>
      <c r="D833" s="14" t="s">
        <v>1818</v>
      </c>
      <c r="E833" s="15" t="s">
        <v>2189</v>
      </c>
      <c r="F833" s="16" t="s">
        <v>3877</v>
      </c>
      <c r="G833" s="16" t="s">
        <v>3878</v>
      </c>
    </row>
    <row r="834" spans="1:7" x14ac:dyDescent="0.25">
      <c r="A834" s="9" t="s">
        <v>3856</v>
      </c>
      <c r="B834" s="10" t="s">
        <v>1810</v>
      </c>
      <c r="C834" s="31" t="s">
        <v>827</v>
      </c>
      <c r="D834" s="10" t="s">
        <v>1819</v>
      </c>
      <c r="E834" s="11" t="s">
        <v>2189</v>
      </c>
      <c r="F834" s="12" t="s">
        <v>3879</v>
      </c>
      <c r="G834" s="12" t="s">
        <v>3880</v>
      </c>
    </row>
    <row r="835" spans="1:7" x14ac:dyDescent="0.25">
      <c r="A835" s="13" t="s">
        <v>3881</v>
      </c>
      <c r="B835" s="14" t="s">
        <v>1356</v>
      </c>
      <c r="C835" s="32" t="s">
        <v>828</v>
      </c>
      <c r="D835" s="14" t="s">
        <v>1820</v>
      </c>
      <c r="E835" s="15" t="s">
        <v>2189</v>
      </c>
      <c r="F835" s="16" t="s">
        <v>3882</v>
      </c>
      <c r="G835" s="16" t="s">
        <v>3883</v>
      </c>
    </row>
    <row r="836" spans="1:7" x14ac:dyDescent="0.25">
      <c r="A836" s="9" t="s">
        <v>3881</v>
      </c>
      <c r="B836" s="10" t="s">
        <v>1356</v>
      </c>
      <c r="C836" s="31" t="s">
        <v>829</v>
      </c>
      <c r="D836" s="10" t="s">
        <v>1821</v>
      </c>
      <c r="E836" s="11" t="s">
        <v>2189</v>
      </c>
      <c r="F836" s="12" t="s">
        <v>3884</v>
      </c>
      <c r="G836" s="12" t="s">
        <v>3885</v>
      </c>
    </row>
    <row r="837" spans="1:7" x14ac:dyDescent="0.25">
      <c r="A837" s="13" t="s">
        <v>3881</v>
      </c>
      <c r="B837" s="14" t="s">
        <v>1356</v>
      </c>
      <c r="C837" s="32" t="s">
        <v>830</v>
      </c>
      <c r="D837" s="14" t="s">
        <v>1397</v>
      </c>
      <c r="E837" s="15" t="s">
        <v>2189</v>
      </c>
      <c r="F837" s="16" t="s">
        <v>3886</v>
      </c>
      <c r="G837" s="16" t="s">
        <v>3887</v>
      </c>
    </row>
    <row r="838" spans="1:7" ht="24" x14ac:dyDescent="0.25">
      <c r="A838" s="9" t="s">
        <v>3881</v>
      </c>
      <c r="B838" s="10" t="s">
        <v>1356</v>
      </c>
      <c r="C838" s="31" t="s">
        <v>831</v>
      </c>
      <c r="D838" s="10" t="s">
        <v>1822</v>
      </c>
      <c r="E838" s="11" t="s">
        <v>2189</v>
      </c>
      <c r="F838" s="12" t="s">
        <v>3888</v>
      </c>
      <c r="G838" s="12" t="s">
        <v>3889</v>
      </c>
    </row>
    <row r="839" spans="1:7" ht="24" x14ac:dyDescent="0.25">
      <c r="A839" s="13" t="s">
        <v>3881</v>
      </c>
      <c r="B839" s="14" t="s">
        <v>1356</v>
      </c>
      <c r="C839" s="32" t="s">
        <v>832</v>
      </c>
      <c r="D839" s="14" t="s">
        <v>1823</v>
      </c>
      <c r="E839" s="15" t="s">
        <v>2189</v>
      </c>
      <c r="F839" s="16" t="s">
        <v>3890</v>
      </c>
      <c r="G839" s="16" t="s">
        <v>3891</v>
      </c>
    </row>
    <row r="840" spans="1:7" x14ac:dyDescent="0.25">
      <c r="A840" s="9" t="s">
        <v>3881</v>
      </c>
      <c r="B840" s="10" t="s">
        <v>1356</v>
      </c>
      <c r="C840" s="31" t="s">
        <v>833</v>
      </c>
      <c r="D840" s="10" t="s">
        <v>1824</v>
      </c>
      <c r="E840" s="11" t="s">
        <v>2189</v>
      </c>
      <c r="F840" s="12" t="s">
        <v>3892</v>
      </c>
      <c r="G840" s="12" t="s">
        <v>3893</v>
      </c>
    </row>
    <row r="841" spans="1:7" x14ac:dyDescent="0.25">
      <c r="A841" s="13" t="s">
        <v>3881</v>
      </c>
      <c r="B841" s="14" t="s">
        <v>1356</v>
      </c>
      <c r="C841" s="32" t="s">
        <v>834</v>
      </c>
      <c r="D841" s="14" t="s">
        <v>1825</v>
      </c>
      <c r="E841" s="15" t="s">
        <v>2189</v>
      </c>
      <c r="F841" s="16" t="s">
        <v>3894</v>
      </c>
      <c r="G841" s="16" t="s">
        <v>3895</v>
      </c>
    </row>
    <row r="842" spans="1:7" x14ac:dyDescent="0.25">
      <c r="A842" s="9" t="s">
        <v>3881</v>
      </c>
      <c r="B842" s="10" t="s">
        <v>1356</v>
      </c>
      <c r="C842" s="31" t="s">
        <v>835</v>
      </c>
      <c r="D842" s="10" t="s">
        <v>1826</v>
      </c>
      <c r="E842" s="11" t="s">
        <v>2189</v>
      </c>
      <c r="F842" s="12" t="s">
        <v>3896</v>
      </c>
      <c r="G842" s="12" t="s">
        <v>3897</v>
      </c>
    </row>
    <row r="843" spans="1:7" x14ac:dyDescent="0.25">
      <c r="A843" s="13" t="s">
        <v>3881</v>
      </c>
      <c r="B843" s="14" t="s">
        <v>1356</v>
      </c>
      <c r="C843" s="32" t="s">
        <v>836</v>
      </c>
      <c r="D843" s="14" t="s">
        <v>1827</v>
      </c>
      <c r="E843" s="15" t="s">
        <v>2189</v>
      </c>
      <c r="F843" s="16" t="s">
        <v>3898</v>
      </c>
      <c r="G843" s="16" t="s">
        <v>3899</v>
      </c>
    </row>
    <row r="844" spans="1:7" x14ac:dyDescent="0.25">
      <c r="A844" s="9" t="s">
        <v>3881</v>
      </c>
      <c r="B844" s="10" t="s">
        <v>1356</v>
      </c>
      <c r="C844" s="31" t="s">
        <v>837</v>
      </c>
      <c r="D844" s="10" t="s">
        <v>1828</v>
      </c>
      <c r="E844" s="11" t="s">
        <v>2189</v>
      </c>
      <c r="F844" s="12" t="s">
        <v>3900</v>
      </c>
      <c r="G844" s="12" t="s">
        <v>3901</v>
      </c>
    </row>
    <row r="845" spans="1:7" ht="24" x14ac:dyDescent="0.25">
      <c r="A845" s="13" t="s">
        <v>3881</v>
      </c>
      <c r="B845" s="14" t="s">
        <v>1356</v>
      </c>
      <c r="C845" s="32" t="s">
        <v>838</v>
      </c>
      <c r="D845" s="14" t="s">
        <v>1829</v>
      </c>
      <c r="E845" s="15" t="s">
        <v>2189</v>
      </c>
      <c r="F845" s="16" t="s">
        <v>3902</v>
      </c>
      <c r="G845" s="16" t="s">
        <v>3903</v>
      </c>
    </row>
    <row r="846" spans="1:7" x14ac:dyDescent="0.25">
      <c r="A846" s="9" t="s">
        <v>3881</v>
      </c>
      <c r="B846" s="10" t="s">
        <v>1356</v>
      </c>
      <c r="C846" s="31" t="s">
        <v>839</v>
      </c>
      <c r="D846" s="10" t="s">
        <v>1830</v>
      </c>
      <c r="E846" s="11" t="s">
        <v>2189</v>
      </c>
      <c r="F846" s="12" t="s">
        <v>3904</v>
      </c>
      <c r="G846" s="12" t="s">
        <v>3905</v>
      </c>
    </row>
    <row r="847" spans="1:7" ht="36" x14ac:dyDescent="0.25">
      <c r="A847" s="13" t="s">
        <v>3881</v>
      </c>
      <c r="B847" s="14" t="s">
        <v>1356</v>
      </c>
      <c r="C847" s="32" t="s">
        <v>840</v>
      </c>
      <c r="D847" s="14" t="s">
        <v>1831</v>
      </c>
      <c r="E847" s="15" t="s">
        <v>2189</v>
      </c>
      <c r="F847" s="16" t="s">
        <v>3906</v>
      </c>
      <c r="G847" s="16" t="s">
        <v>3907</v>
      </c>
    </row>
    <row r="848" spans="1:7" x14ac:dyDescent="0.25">
      <c r="A848" s="9" t="s">
        <v>3881</v>
      </c>
      <c r="B848" s="10" t="s">
        <v>1356</v>
      </c>
      <c r="C848" s="31" t="s">
        <v>841</v>
      </c>
      <c r="D848" s="10" t="s">
        <v>1832</v>
      </c>
      <c r="E848" s="11" t="s">
        <v>2189</v>
      </c>
      <c r="F848" s="12" t="s">
        <v>3908</v>
      </c>
      <c r="G848" s="12" t="s">
        <v>3909</v>
      </c>
    </row>
    <row r="849" spans="1:7" ht="24" x14ac:dyDescent="0.25">
      <c r="A849" s="13" t="s">
        <v>3910</v>
      </c>
      <c r="B849" s="14" t="s">
        <v>1834</v>
      </c>
      <c r="C849" s="32" t="s">
        <v>843</v>
      </c>
      <c r="D849" s="14" t="s">
        <v>1835</v>
      </c>
      <c r="E849" s="15" t="s">
        <v>2189</v>
      </c>
      <c r="F849" s="16" t="s">
        <v>3911</v>
      </c>
      <c r="G849" s="16" t="s">
        <v>3912</v>
      </c>
    </row>
    <row r="850" spans="1:7" x14ac:dyDescent="0.25">
      <c r="A850" s="9" t="s">
        <v>3910</v>
      </c>
      <c r="B850" s="10" t="s">
        <v>1834</v>
      </c>
      <c r="C850" s="31" t="s">
        <v>844</v>
      </c>
      <c r="D850" s="10" t="s">
        <v>1836</v>
      </c>
      <c r="E850" s="11" t="s">
        <v>2189</v>
      </c>
      <c r="F850" s="12" t="s">
        <v>3913</v>
      </c>
      <c r="G850" s="12" t="s">
        <v>3914</v>
      </c>
    </row>
    <row r="851" spans="1:7" x14ac:dyDescent="0.25">
      <c r="A851" s="13" t="s">
        <v>3910</v>
      </c>
      <c r="B851" s="14" t="s">
        <v>1834</v>
      </c>
      <c r="C851" s="32" t="s">
        <v>845</v>
      </c>
      <c r="D851" s="14" t="s">
        <v>1366</v>
      </c>
      <c r="E851" s="15" t="s">
        <v>2189</v>
      </c>
      <c r="F851" s="16" t="s">
        <v>3915</v>
      </c>
      <c r="G851" s="16" t="s">
        <v>3916</v>
      </c>
    </row>
    <row r="852" spans="1:7" x14ac:dyDescent="0.25">
      <c r="A852" s="9" t="s">
        <v>3910</v>
      </c>
      <c r="B852" s="10" t="s">
        <v>1834</v>
      </c>
      <c r="C852" s="31" t="s">
        <v>846</v>
      </c>
      <c r="D852" s="10" t="s">
        <v>1837</v>
      </c>
      <c r="E852" s="11" t="s">
        <v>2189</v>
      </c>
      <c r="F852" s="12" t="s">
        <v>3917</v>
      </c>
      <c r="G852" s="12" t="s">
        <v>3918</v>
      </c>
    </row>
    <row r="853" spans="1:7" x14ac:dyDescent="0.25">
      <c r="A853" s="13" t="s">
        <v>3910</v>
      </c>
      <c r="B853" s="14" t="s">
        <v>1834</v>
      </c>
      <c r="C853" s="32" t="s">
        <v>847</v>
      </c>
      <c r="D853" s="14" t="s">
        <v>1060</v>
      </c>
      <c r="E853" s="15" t="s">
        <v>2189</v>
      </c>
      <c r="F853" s="16" t="s">
        <v>3919</v>
      </c>
      <c r="G853" s="16" t="s">
        <v>3920</v>
      </c>
    </row>
    <row r="854" spans="1:7" x14ac:dyDescent="0.25">
      <c r="A854" s="9" t="s">
        <v>3910</v>
      </c>
      <c r="B854" s="10" t="s">
        <v>1834</v>
      </c>
      <c r="C854" s="31" t="s">
        <v>848</v>
      </c>
      <c r="D854" s="10" t="s">
        <v>1838</v>
      </c>
      <c r="E854" s="11" t="s">
        <v>2189</v>
      </c>
      <c r="F854" s="12" t="s">
        <v>3921</v>
      </c>
      <c r="G854" s="12" t="s">
        <v>3922</v>
      </c>
    </row>
    <row r="855" spans="1:7" ht="24" x14ac:dyDescent="0.25">
      <c r="A855" s="13" t="s">
        <v>3910</v>
      </c>
      <c r="B855" s="14" t="s">
        <v>1834</v>
      </c>
      <c r="C855" s="32" t="s">
        <v>849</v>
      </c>
      <c r="D855" s="14" t="s">
        <v>1839</v>
      </c>
      <c r="E855" s="15" t="s">
        <v>2189</v>
      </c>
      <c r="F855" s="16" t="s">
        <v>3923</v>
      </c>
      <c r="G855" s="16" t="s">
        <v>3924</v>
      </c>
    </row>
    <row r="856" spans="1:7" x14ac:dyDescent="0.25">
      <c r="A856" s="9" t="s">
        <v>3910</v>
      </c>
      <c r="B856" s="10" t="s">
        <v>1834</v>
      </c>
      <c r="C856" s="31" t="s">
        <v>850</v>
      </c>
      <c r="D856" s="10" t="s">
        <v>1064</v>
      </c>
      <c r="E856" s="11" t="s">
        <v>2189</v>
      </c>
      <c r="F856" s="12" t="s">
        <v>3925</v>
      </c>
      <c r="G856" s="12" t="s">
        <v>3926</v>
      </c>
    </row>
    <row r="857" spans="1:7" x14ac:dyDescent="0.25">
      <c r="A857" s="13" t="s">
        <v>3910</v>
      </c>
      <c r="B857" s="14" t="s">
        <v>1834</v>
      </c>
      <c r="C857" s="32" t="s">
        <v>851</v>
      </c>
      <c r="D857" s="14" t="s">
        <v>1194</v>
      </c>
      <c r="E857" s="15" t="s">
        <v>2189</v>
      </c>
      <c r="F857" s="16" t="s">
        <v>3927</v>
      </c>
      <c r="G857" s="16" t="s">
        <v>3928</v>
      </c>
    </row>
    <row r="858" spans="1:7" x14ac:dyDescent="0.25">
      <c r="A858" s="9" t="s">
        <v>3910</v>
      </c>
      <c r="B858" s="10" t="s">
        <v>1834</v>
      </c>
      <c r="C858" s="31" t="s">
        <v>2085</v>
      </c>
      <c r="D858" s="10" t="s">
        <v>1515</v>
      </c>
      <c r="E858" s="11" t="s">
        <v>2189</v>
      </c>
      <c r="F858" s="12" t="s">
        <v>3929</v>
      </c>
      <c r="G858" s="12" t="s">
        <v>3930</v>
      </c>
    </row>
    <row r="859" spans="1:7" x14ac:dyDescent="0.25">
      <c r="A859" s="13" t="s">
        <v>3910</v>
      </c>
      <c r="B859" s="14" t="s">
        <v>1834</v>
      </c>
      <c r="C859" s="32" t="s">
        <v>852</v>
      </c>
      <c r="D859" s="14" t="s">
        <v>1840</v>
      </c>
      <c r="E859" s="15" t="s">
        <v>2189</v>
      </c>
      <c r="F859" s="16" t="s">
        <v>3931</v>
      </c>
      <c r="G859" s="16" t="s">
        <v>3932</v>
      </c>
    </row>
    <row r="860" spans="1:7" x14ac:dyDescent="0.25">
      <c r="A860" s="9" t="s">
        <v>3910</v>
      </c>
      <c r="B860" s="10" t="s">
        <v>1834</v>
      </c>
      <c r="C860" s="31" t="s">
        <v>853</v>
      </c>
      <c r="D860" s="10" t="s">
        <v>1841</v>
      </c>
      <c r="E860" s="11" t="s">
        <v>2189</v>
      </c>
      <c r="F860" s="12" t="s">
        <v>3933</v>
      </c>
      <c r="G860" s="12" t="s">
        <v>3934</v>
      </c>
    </row>
    <row r="861" spans="1:7" x14ac:dyDescent="0.25">
      <c r="A861" s="13" t="s">
        <v>3910</v>
      </c>
      <c r="B861" s="14" t="s">
        <v>1834</v>
      </c>
      <c r="C861" s="32" t="s">
        <v>854</v>
      </c>
      <c r="D861" s="14" t="s">
        <v>1842</v>
      </c>
      <c r="E861" s="15" t="s">
        <v>2189</v>
      </c>
      <c r="F861" s="16" t="s">
        <v>3935</v>
      </c>
      <c r="G861" s="16" t="s">
        <v>3936</v>
      </c>
    </row>
    <row r="862" spans="1:7" x14ac:dyDescent="0.25">
      <c r="A862" s="9" t="s">
        <v>3910</v>
      </c>
      <c r="B862" s="10" t="s">
        <v>1834</v>
      </c>
      <c r="C862" s="31" t="s">
        <v>855</v>
      </c>
      <c r="D862" s="10" t="s">
        <v>1843</v>
      </c>
      <c r="E862" s="11" t="s">
        <v>2189</v>
      </c>
      <c r="F862" s="12" t="s">
        <v>3937</v>
      </c>
      <c r="G862" s="12" t="s">
        <v>3938</v>
      </c>
    </row>
    <row r="863" spans="1:7" x14ac:dyDescent="0.25">
      <c r="A863" s="13" t="s">
        <v>3910</v>
      </c>
      <c r="B863" s="14" t="s">
        <v>1834</v>
      </c>
      <c r="C863" s="32" t="s">
        <v>856</v>
      </c>
      <c r="D863" s="14" t="s">
        <v>1844</v>
      </c>
      <c r="E863" s="15" t="s">
        <v>2189</v>
      </c>
      <c r="F863" s="16" t="s">
        <v>3939</v>
      </c>
      <c r="G863" s="16" t="s">
        <v>3940</v>
      </c>
    </row>
    <row r="864" spans="1:7" x14ac:dyDescent="0.25">
      <c r="A864" s="9" t="s">
        <v>3910</v>
      </c>
      <c r="B864" s="10" t="s">
        <v>1834</v>
      </c>
      <c r="C864" s="31" t="s">
        <v>857</v>
      </c>
      <c r="D864" s="10" t="s">
        <v>1845</v>
      </c>
      <c r="E864" s="11" t="s">
        <v>2189</v>
      </c>
      <c r="F864" s="12" t="s">
        <v>3941</v>
      </c>
      <c r="G864" s="12" t="s">
        <v>3942</v>
      </c>
    </row>
    <row r="865" spans="1:7" x14ac:dyDescent="0.25">
      <c r="A865" s="13" t="s">
        <v>3910</v>
      </c>
      <c r="B865" s="14" t="s">
        <v>1834</v>
      </c>
      <c r="C865" s="32" t="s">
        <v>2098</v>
      </c>
      <c r="D865" s="14" t="s">
        <v>2168</v>
      </c>
      <c r="E865" s="15" t="s">
        <v>2189</v>
      </c>
      <c r="F865" s="16" t="s">
        <v>3943</v>
      </c>
      <c r="G865" s="16" t="s">
        <v>3944</v>
      </c>
    </row>
    <row r="866" spans="1:7" x14ac:dyDescent="0.25">
      <c r="A866" s="9" t="s">
        <v>3910</v>
      </c>
      <c r="B866" s="10" t="s">
        <v>1834</v>
      </c>
      <c r="C866" s="31" t="s">
        <v>858</v>
      </c>
      <c r="D866" s="10" t="s">
        <v>1846</v>
      </c>
      <c r="E866" s="11" t="s">
        <v>2189</v>
      </c>
      <c r="F866" s="12" t="s">
        <v>3945</v>
      </c>
      <c r="G866" s="12" t="s">
        <v>3946</v>
      </c>
    </row>
    <row r="867" spans="1:7" x14ac:dyDescent="0.25">
      <c r="A867" s="13" t="s">
        <v>3910</v>
      </c>
      <c r="B867" s="14" t="s">
        <v>1834</v>
      </c>
      <c r="C867" s="32" t="s">
        <v>859</v>
      </c>
      <c r="D867" s="14" t="s">
        <v>1847</v>
      </c>
      <c r="E867" s="15" t="s">
        <v>2189</v>
      </c>
      <c r="F867" s="16" t="s">
        <v>3947</v>
      </c>
      <c r="G867" s="16" t="s">
        <v>3948</v>
      </c>
    </row>
    <row r="868" spans="1:7" x14ac:dyDescent="0.25">
      <c r="A868" s="9" t="s">
        <v>3910</v>
      </c>
      <c r="B868" s="10" t="s">
        <v>1834</v>
      </c>
      <c r="C868" s="31" t="s">
        <v>860</v>
      </c>
      <c r="D868" s="10" t="s">
        <v>1848</v>
      </c>
      <c r="E868" s="11" t="s">
        <v>2189</v>
      </c>
      <c r="F868" s="12" t="s">
        <v>3949</v>
      </c>
      <c r="G868" s="12" t="s">
        <v>3950</v>
      </c>
    </row>
    <row r="869" spans="1:7" ht="24" x14ac:dyDescent="0.25">
      <c r="A869" s="13" t="s">
        <v>3910</v>
      </c>
      <c r="B869" s="14" t="s">
        <v>1834</v>
      </c>
      <c r="C869" s="32" t="s">
        <v>861</v>
      </c>
      <c r="D869" s="14" t="s">
        <v>1081</v>
      </c>
      <c r="E869" s="15" t="s">
        <v>2189</v>
      </c>
      <c r="F869" s="16" t="s">
        <v>3951</v>
      </c>
      <c r="G869" s="16" t="s">
        <v>3952</v>
      </c>
    </row>
    <row r="870" spans="1:7" x14ac:dyDescent="0.25">
      <c r="A870" s="9" t="s">
        <v>3910</v>
      </c>
      <c r="B870" s="10" t="s">
        <v>1834</v>
      </c>
      <c r="C870" s="31" t="s">
        <v>862</v>
      </c>
      <c r="D870" s="10" t="s">
        <v>1849</v>
      </c>
      <c r="E870" s="11" t="s">
        <v>2189</v>
      </c>
      <c r="F870" s="12" t="s">
        <v>3953</v>
      </c>
      <c r="G870" s="12" t="s">
        <v>3954</v>
      </c>
    </row>
    <row r="871" spans="1:7" ht="24" x14ac:dyDescent="0.25">
      <c r="A871" s="13" t="s">
        <v>3910</v>
      </c>
      <c r="B871" s="14" t="s">
        <v>1834</v>
      </c>
      <c r="C871" s="32" t="s">
        <v>863</v>
      </c>
      <c r="D871" s="14" t="s">
        <v>1850</v>
      </c>
      <c r="E871" s="15" t="s">
        <v>2189</v>
      </c>
      <c r="F871" s="16" t="s">
        <v>3955</v>
      </c>
      <c r="G871" s="16" t="s">
        <v>3956</v>
      </c>
    </row>
    <row r="872" spans="1:7" x14ac:dyDescent="0.25">
      <c r="A872" s="9" t="s">
        <v>3910</v>
      </c>
      <c r="B872" s="10" t="s">
        <v>1834</v>
      </c>
      <c r="C872" s="31" t="s">
        <v>864</v>
      </c>
      <c r="D872" s="10" t="s">
        <v>1851</v>
      </c>
      <c r="E872" s="11" t="s">
        <v>2189</v>
      </c>
      <c r="F872" s="12" t="s">
        <v>3957</v>
      </c>
      <c r="G872" s="12" t="s">
        <v>3958</v>
      </c>
    </row>
    <row r="873" spans="1:7" x14ac:dyDescent="0.25">
      <c r="A873" s="13" t="s">
        <v>3910</v>
      </c>
      <c r="B873" s="14" t="s">
        <v>1834</v>
      </c>
      <c r="C873" s="32" t="s">
        <v>865</v>
      </c>
      <c r="D873" s="14" t="s">
        <v>1852</v>
      </c>
      <c r="E873" s="15" t="s">
        <v>2189</v>
      </c>
      <c r="F873" s="16" t="s">
        <v>3959</v>
      </c>
      <c r="G873" s="16" t="s">
        <v>3960</v>
      </c>
    </row>
    <row r="874" spans="1:7" ht="36" x14ac:dyDescent="0.25">
      <c r="A874" s="9" t="s">
        <v>3910</v>
      </c>
      <c r="B874" s="10" t="s">
        <v>1834</v>
      </c>
      <c r="C874" s="31" t="s">
        <v>866</v>
      </c>
      <c r="D874" s="10" t="s">
        <v>1853</v>
      </c>
      <c r="E874" s="11" t="s">
        <v>2189</v>
      </c>
      <c r="F874" s="12" t="s">
        <v>3961</v>
      </c>
      <c r="G874" s="12" t="s">
        <v>3962</v>
      </c>
    </row>
    <row r="875" spans="1:7" ht="24" x14ac:dyDescent="0.25">
      <c r="A875" s="13" t="s">
        <v>3910</v>
      </c>
      <c r="B875" s="14" t="s">
        <v>1834</v>
      </c>
      <c r="C875" s="32" t="s">
        <v>867</v>
      </c>
      <c r="D875" s="14" t="s">
        <v>1854</v>
      </c>
      <c r="E875" s="15" t="s">
        <v>2189</v>
      </c>
      <c r="F875" s="16" t="s">
        <v>3963</v>
      </c>
      <c r="G875" s="16" t="s">
        <v>3964</v>
      </c>
    </row>
    <row r="876" spans="1:7" x14ac:dyDescent="0.25">
      <c r="A876" s="9" t="s">
        <v>3910</v>
      </c>
      <c r="B876" s="10" t="s">
        <v>1834</v>
      </c>
      <c r="C876" s="31" t="s">
        <v>868</v>
      </c>
      <c r="D876" s="10" t="s">
        <v>1208</v>
      </c>
      <c r="E876" s="11" t="s">
        <v>2189</v>
      </c>
      <c r="F876" s="12" t="s">
        <v>3965</v>
      </c>
      <c r="G876" s="12" t="s">
        <v>3966</v>
      </c>
    </row>
    <row r="877" spans="1:7" x14ac:dyDescent="0.25">
      <c r="A877" s="13" t="s">
        <v>3910</v>
      </c>
      <c r="B877" s="14" t="s">
        <v>1834</v>
      </c>
      <c r="C877" s="32" t="s">
        <v>869</v>
      </c>
      <c r="D877" s="14" t="s">
        <v>1855</v>
      </c>
      <c r="E877" s="15" t="s">
        <v>2189</v>
      </c>
      <c r="F877" s="16" t="s">
        <v>3967</v>
      </c>
      <c r="G877" s="16" t="s">
        <v>3968</v>
      </c>
    </row>
    <row r="878" spans="1:7" x14ac:dyDescent="0.25">
      <c r="A878" s="9" t="s">
        <v>3910</v>
      </c>
      <c r="B878" s="10" t="s">
        <v>1834</v>
      </c>
      <c r="C878" s="31" t="s">
        <v>870</v>
      </c>
      <c r="D878" s="10" t="s">
        <v>1856</v>
      </c>
      <c r="E878" s="11" t="s">
        <v>2189</v>
      </c>
      <c r="F878" s="12" t="s">
        <v>3969</v>
      </c>
      <c r="G878" s="12" t="s">
        <v>3970</v>
      </c>
    </row>
    <row r="879" spans="1:7" x14ac:dyDescent="0.25">
      <c r="A879" s="13" t="s">
        <v>3910</v>
      </c>
      <c r="B879" s="14" t="s">
        <v>1834</v>
      </c>
      <c r="C879" s="32" t="s">
        <v>871</v>
      </c>
      <c r="D879" s="14" t="s">
        <v>1857</v>
      </c>
      <c r="E879" s="15" t="s">
        <v>2189</v>
      </c>
      <c r="F879" s="16" t="s">
        <v>3971</v>
      </c>
      <c r="G879" s="16" t="s">
        <v>3972</v>
      </c>
    </row>
    <row r="880" spans="1:7" x14ac:dyDescent="0.25">
      <c r="A880" s="9" t="s">
        <v>3910</v>
      </c>
      <c r="B880" s="10" t="s">
        <v>1834</v>
      </c>
      <c r="C880" s="31" t="s">
        <v>872</v>
      </c>
      <c r="D880" s="10" t="s">
        <v>1858</v>
      </c>
      <c r="E880" s="11" t="s">
        <v>2189</v>
      </c>
      <c r="F880" s="12" t="s">
        <v>3973</v>
      </c>
      <c r="G880" s="12" t="s">
        <v>3974</v>
      </c>
    </row>
    <row r="881" spans="1:7" ht="24" x14ac:dyDescent="0.25">
      <c r="A881" s="13" t="s">
        <v>3910</v>
      </c>
      <c r="B881" s="14" t="s">
        <v>1834</v>
      </c>
      <c r="C881" s="32" t="s">
        <v>873</v>
      </c>
      <c r="D881" s="14" t="s">
        <v>1859</v>
      </c>
      <c r="E881" s="15" t="s">
        <v>2189</v>
      </c>
      <c r="F881" s="16" t="s">
        <v>3975</v>
      </c>
      <c r="G881" s="16" t="s">
        <v>3976</v>
      </c>
    </row>
    <row r="882" spans="1:7" x14ac:dyDescent="0.25">
      <c r="A882" s="9" t="s">
        <v>3910</v>
      </c>
      <c r="B882" s="10" t="s">
        <v>1834</v>
      </c>
      <c r="C882" s="31" t="s">
        <v>874</v>
      </c>
      <c r="D882" s="10" t="s">
        <v>1860</v>
      </c>
      <c r="E882" s="11" t="s">
        <v>2189</v>
      </c>
      <c r="F882" s="12" t="s">
        <v>3977</v>
      </c>
      <c r="G882" s="12" t="s">
        <v>3978</v>
      </c>
    </row>
    <row r="883" spans="1:7" x14ac:dyDescent="0.25">
      <c r="A883" s="13" t="s">
        <v>3910</v>
      </c>
      <c r="B883" s="14" t="s">
        <v>1834</v>
      </c>
      <c r="C883" s="32" t="s">
        <v>875</v>
      </c>
      <c r="D883" s="14" t="s">
        <v>1861</v>
      </c>
      <c r="E883" s="15" t="s">
        <v>2189</v>
      </c>
      <c r="F883" s="16" t="s">
        <v>3979</v>
      </c>
      <c r="G883" s="16" t="s">
        <v>3980</v>
      </c>
    </row>
    <row r="884" spans="1:7" x14ac:dyDescent="0.25">
      <c r="A884" s="9" t="s">
        <v>3910</v>
      </c>
      <c r="B884" s="10" t="s">
        <v>1834</v>
      </c>
      <c r="C884" s="31" t="s">
        <v>876</v>
      </c>
      <c r="D884" s="10" t="s">
        <v>1862</v>
      </c>
      <c r="E884" s="11" t="s">
        <v>2189</v>
      </c>
      <c r="F884" s="12" t="s">
        <v>3981</v>
      </c>
      <c r="G884" s="12" t="s">
        <v>3982</v>
      </c>
    </row>
    <row r="885" spans="1:7" x14ac:dyDescent="0.25">
      <c r="A885" s="13" t="s">
        <v>3910</v>
      </c>
      <c r="B885" s="14" t="s">
        <v>1834</v>
      </c>
      <c r="C885" s="32" t="s">
        <v>877</v>
      </c>
      <c r="D885" s="14" t="s">
        <v>1863</v>
      </c>
      <c r="E885" s="15" t="s">
        <v>2189</v>
      </c>
      <c r="F885" s="16" t="s">
        <v>3983</v>
      </c>
      <c r="G885" s="16" t="s">
        <v>3984</v>
      </c>
    </row>
    <row r="886" spans="1:7" x14ac:dyDescent="0.25">
      <c r="A886" s="9" t="s">
        <v>3910</v>
      </c>
      <c r="B886" s="10" t="s">
        <v>1834</v>
      </c>
      <c r="C886" s="31" t="s">
        <v>2088</v>
      </c>
      <c r="D886" s="10" t="s">
        <v>1096</v>
      </c>
      <c r="E886" s="11" t="s">
        <v>2189</v>
      </c>
      <c r="F886" s="12" t="s">
        <v>3985</v>
      </c>
      <c r="G886" s="12" t="s">
        <v>3986</v>
      </c>
    </row>
    <row r="887" spans="1:7" x14ac:dyDescent="0.25">
      <c r="A887" s="13" t="s">
        <v>3910</v>
      </c>
      <c r="B887" s="14" t="s">
        <v>1834</v>
      </c>
      <c r="C887" s="32" t="s">
        <v>878</v>
      </c>
      <c r="D887" s="14" t="s">
        <v>1864</v>
      </c>
      <c r="E887" s="15" t="s">
        <v>2189</v>
      </c>
      <c r="F887" s="16" t="s">
        <v>3987</v>
      </c>
      <c r="G887" s="16" t="s">
        <v>3988</v>
      </c>
    </row>
    <row r="888" spans="1:7" x14ac:dyDescent="0.25">
      <c r="A888" s="9" t="s">
        <v>3910</v>
      </c>
      <c r="B888" s="10" t="s">
        <v>1834</v>
      </c>
      <c r="C888" s="31" t="s">
        <v>879</v>
      </c>
      <c r="D888" s="10" t="s">
        <v>1865</v>
      </c>
      <c r="E888" s="11" t="s">
        <v>2189</v>
      </c>
      <c r="F888" s="12" t="s">
        <v>3989</v>
      </c>
      <c r="G888" s="12" t="s">
        <v>3990</v>
      </c>
    </row>
    <row r="889" spans="1:7" x14ac:dyDescent="0.25">
      <c r="A889" s="13" t="s">
        <v>3910</v>
      </c>
      <c r="B889" s="14" t="s">
        <v>1834</v>
      </c>
      <c r="C889" s="32" t="s">
        <v>880</v>
      </c>
      <c r="D889" s="14" t="s">
        <v>1866</v>
      </c>
      <c r="E889" s="15" t="s">
        <v>2189</v>
      </c>
      <c r="F889" s="16" t="s">
        <v>3991</v>
      </c>
      <c r="G889" s="16" t="s">
        <v>3992</v>
      </c>
    </row>
    <row r="890" spans="1:7" x14ac:dyDescent="0.25">
      <c r="A890" s="9" t="s">
        <v>3910</v>
      </c>
      <c r="B890" s="10" t="s">
        <v>1834</v>
      </c>
      <c r="C890" s="31" t="s">
        <v>881</v>
      </c>
      <c r="D890" s="10" t="s">
        <v>1867</v>
      </c>
      <c r="E890" s="11" t="s">
        <v>2189</v>
      </c>
      <c r="F890" s="12" t="s">
        <v>2713</v>
      </c>
      <c r="G890" s="12" t="s">
        <v>3993</v>
      </c>
    </row>
    <row r="891" spans="1:7" ht="24" x14ac:dyDescent="0.25">
      <c r="A891" s="13" t="s">
        <v>3910</v>
      </c>
      <c r="B891" s="14" t="s">
        <v>1834</v>
      </c>
      <c r="C891" s="32" t="s">
        <v>2090</v>
      </c>
      <c r="D891" s="14" t="s">
        <v>2161</v>
      </c>
      <c r="E891" s="15" t="s">
        <v>2189</v>
      </c>
      <c r="F891" s="16" t="s">
        <v>3994</v>
      </c>
      <c r="G891" s="16" t="s">
        <v>3995</v>
      </c>
    </row>
    <row r="892" spans="1:7" x14ac:dyDescent="0.25">
      <c r="A892" s="9" t="s">
        <v>3910</v>
      </c>
      <c r="B892" s="10" t="s">
        <v>1834</v>
      </c>
      <c r="C892" s="31" t="s">
        <v>2084</v>
      </c>
      <c r="D892" s="10" t="s">
        <v>2157</v>
      </c>
      <c r="E892" s="11" t="s">
        <v>2189</v>
      </c>
      <c r="F892" s="12" t="s">
        <v>3996</v>
      </c>
      <c r="G892" s="12" t="s">
        <v>3997</v>
      </c>
    </row>
    <row r="893" spans="1:7" x14ac:dyDescent="0.25">
      <c r="A893" s="13" t="s">
        <v>3910</v>
      </c>
      <c r="B893" s="14" t="s">
        <v>1834</v>
      </c>
      <c r="C893" s="32" t="s">
        <v>882</v>
      </c>
      <c r="D893" s="14" t="s">
        <v>1868</v>
      </c>
      <c r="E893" s="15" t="s">
        <v>2189</v>
      </c>
      <c r="F893" s="16" t="s">
        <v>3998</v>
      </c>
      <c r="G893" s="16" t="s">
        <v>3999</v>
      </c>
    </row>
    <row r="894" spans="1:7" x14ac:dyDescent="0.25">
      <c r="A894" s="9" t="s">
        <v>3910</v>
      </c>
      <c r="B894" s="10" t="s">
        <v>1834</v>
      </c>
      <c r="C894" s="31" t="s">
        <v>883</v>
      </c>
      <c r="D894" s="10" t="s">
        <v>1869</v>
      </c>
      <c r="E894" s="11" t="s">
        <v>2189</v>
      </c>
      <c r="F894" s="12" t="s">
        <v>4000</v>
      </c>
      <c r="G894" s="12" t="s">
        <v>4001</v>
      </c>
    </row>
    <row r="895" spans="1:7" x14ac:dyDescent="0.25">
      <c r="A895" s="13" t="s">
        <v>3910</v>
      </c>
      <c r="B895" s="14" t="s">
        <v>1834</v>
      </c>
      <c r="C895" s="32" t="s">
        <v>884</v>
      </c>
      <c r="D895" s="14" t="s">
        <v>1449</v>
      </c>
      <c r="E895" s="15" t="s">
        <v>2189</v>
      </c>
      <c r="F895" s="16" t="s">
        <v>4002</v>
      </c>
      <c r="G895" s="16" t="s">
        <v>4003</v>
      </c>
    </row>
    <row r="896" spans="1:7" x14ac:dyDescent="0.25">
      <c r="A896" s="9" t="s">
        <v>3910</v>
      </c>
      <c r="B896" s="10" t="s">
        <v>1834</v>
      </c>
      <c r="C896" s="31" t="s">
        <v>885</v>
      </c>
      <c r="D896" s="10" t="s">
        <v>1870</v>
      </c>
      <c r="E896" s="11" t="s">
        <v>2189</v>
      </c>
      <c r="F896" s="12" t="s">
        <v>4004</v>
      </c>
      <c r="G896" s="12" t="s">
        <v>4005</v>
      </c>
    </row>
    <row r="897" spans="1:7" ht="24" x14ac:dyDescent="0.25">
      <c r="A897" s="13" t="s">
        <v>3910</v>
      </c>
      <c r="B897" s="14" t="s">
        <v>1834</v>
      </c>
      <c r="C897" s="32" t="s">
        <v>886</v>
      </c>
      <c r="D897" s="14" t="s">
        <v>1871</v>
      </c>
      <c r="E897" s="15" t="s">
        <v>2189</v>
      </c>
      <c r="F897" s="16" t="s">
        <v>4006</v>
      </c>
      <c r="G897" s="16" t="s">
        <v>4007</v>
      </c>
    </row>
    <row r="898" spans="1:7" x14ac:dyDescent="0.25">
      <c r="A898" s="9" t="s">
        <v>3910</v>
      </c>
      <c r="B898" s="10" t="s">
        <v>1834</v>
      </c>
      <c r="C898" s="31" t="s">
        <v>887</v>
      </c>
      <c r="D898" s="10" t="s">
        <v>1872</v>
      </c>
      <c r="E898" s="11" t="s">
        <v>2189</v>
      </c>
      <c r="F898" s="12" t="s">
        <v>4008</v>
      </c>
      <c r="G898" s="12" t="s">
        <v>4009</v>
      </c>
    </row>
    <row r="899" spans="1:7" x14ac:dyDescent="0.25">
      <c r="A899" s="13" t="s">
        <v>3910</v>
      </c>
      <c r="B899" s="14" t="s">
        <v>1834</v>
      </c>
      <c r="C899" s="32" t="s">
        <v>888</v>
      </c>
      <c r="D899" s="14" t="s">
        <v>1873</v>
      </c>
      <c r="E899" s="15" t="s">
        <v>2189</v>
      </c>
      <c r="F899" s="16" t="s">
        <v>4010</v>
      </c>
      <c r="G899" s="16" t="s">
        <v>4011</v>
      </c>
    </row>
    <row r="900" spans="1:7" x14ac:dyDescent="0.25">
      <c r="A900" s="9" t="s">
        <v>3910</v>
      </c>
      <c r="B900" s="10" t="s">
        <v>1834</v>
      </c>
      <c r="C900" s="31" t="s">
        <v>889</v>
      </c>
      <c r="D900" s="10" t="s">
        <v>1874</v>
      </c>
      <c r="E900" s="11" t="s">
        <v>2189</v>
      </c>
      <c r="F900" s="12" t="s">
        <v>4012</v>
      </c>
      <c r="G900" s="12" t="s">
        <v>4013</v>
      </c>
    </row>
    <row r="901" spans="1:7" x14ac:dyDescent="0.25">
      <c r="A901" s="13" t="s">
        <v>3910</v>
      </c>
      <c r="B901" s="14" t="s">
        <v>1834</v>
      </c>
      <c r="C901" s="32" t="s">
        <v>890</v>
      </c>
      <c r="D901" s="14" t="s">
        <v>1875</v>
      </c>
      <c r="E901" s="15" t="s">
        <v>2189</v>
      </c>
      <c r="F901" s="16" t="s">
        <v>4014</v>
      </c>
      <c r="G901" s="16" t="s">
        <v>4015</v>
      </c>
    </row>
    <row r="902" spans="1:7" x14ac:dyDescent="0.25">
      <c r="A902" s="9" t="s">
        <v>3910</v>
      </c>
      <c r="B902" s="10" t="s">
        <v>1834</v>
      </c>
      <c r="C902" s="31" t="s">
        <v>891</v>
      </c>
      <c r="D902" s="10" t="s">
        <v>1876</v>
      </c>
      <c r="E902" s="11" t="s">
        <v>2189</v>
      </c>
      <c r="F902" s="12" t="s">
        <v>4016</v>
      </c>
      <c r="G902" s="12" t="s">
        <v>4017</v>
      </c>
    </row>
    <row r="903" spans="1:7" x14ac:dyDescent="0.25">
      <c r="A903" s="13" t="s">
        <v>3910</v>
      </c>
      <c r="B903" s="14" t="s">
        <v>1834</v>
      </c>
      <c r="C903" s="32" t="s">
        <v>2112</v>
      </c>
      <c r="D903" s="14" t="s">
        <v>2181</v>
      </c>
      <c r="E903" s="15" t="s">
        <v>2189</v>
      </c>
      <c r="F903" s="16" t="s">
        <v>4018</v>
      </c>
      <c r="G903" s="16" t="s">
        <v>4019</v>
      </c>
    </row>
    <row r="904" spans="1:7" x14ac:dyDescent="0.25">
      <c r="A904" s="9" t="s">
        <v>3910</v>
      </c>
      <c r="B904" s="10" t="s">
        <v>1834</v>
      </c>
      <c r="C904" s="31" t="s">
        <v>892</v>
      </c>
      <c r="D904" s="10" t="s">
        <v>1877</v>
      </c>
      <c r="E904" s="11" t="s">
        <v>2189</v>
      </c>
      <c r="F904" s="12" t="s">
        <v>4020</v>
      </c>
      <c r="G904" s="12" t="s">
        <v>4021</v>
      </c>
    </row>
    <row r="905" spans="1:7" x14ac:dyDescent="0.25">
      <c r="A905" s="13" t="s">
        <v>3910</v>
      </c>
      <c r="B905" s="14" t="s">
        <v>1834</v>
      </c>
      <c r="C905" s="32" t="s">
        <v>893</v>
      </c>
      <c r="D905" s="14" t="s">
        <v>1878</v>
      </c>
      <c r="E905" s="15" t="s">
        <v>2189</v>
      </c>
      <c r="F905" s="16" t="s">
        <v>4022</v>
      </c>
      <c r="G905" s="16" t="s">
        <v>4023</v>
      </c>
    </row>
    <row r="906" spans="1:7" x14ac:dyDescent="0.25">
      <c r="A906" s="9" t="s">
        <v>3910</v>
      </c>
      <c r="B906" s="10" t="s">
        <v>1834</v>
      </c>
      <c r="C906" s="31" t="s">
        <v>2104</v>
      </c>
      <c r="D906" s="10" t="s">
        <v>2174</v>
      </c>
      <c r="E906" s="11" t="s">
        <v>2189</v>
      </c>
      <c r="F906" s="12" t="s">
        <v>4024</v>
      </c>
      <c r="G906" s="12" t="s">
        <v>4025</v>
      </c>
    </row>
    <row r="907" spans="1:7" ht="24" x14ac:dyDescent="0.25">
      <c r="A907" s="13" t="s">
        <v>3910</v>
      </c>
      <c r="B907" s="14" t="s">
        <v>1834</v>
      </c>
      <c r="C907" s="32" t="s">
        <v>2103</v>
      </c>
      <c r="D907" s="14" t="s">
        <v>2173</v>
      </c>
      <c r="E907" s="15" t="s">
        <v>2189</v>
      </c>
      <c r="F907" s="16" t="s">
        <v>4026</v>
      </c>
      <c r="G907" s="16" t="s">
        <v>4027</v>
      </c>
    </row>
    <row r="908" spans="1:7" x14ac:dyDescent="0.25">
      <c r="A908" s="9" t="s">
        <v>3910</v>
      </c>
      <c r="B908" s="10" t="s">
        <v>1834</v>
      </c>
      <c r="C908" s="31" t="s">
        <v>894</v>
      </c>
      <c r="D908" s="10" t="s">
        <v>1879</v>
      </c>
      <c r="E908" s="11" t="s">
        <v>2189</v>
      </c>
      <c r="F908" s="12" t="s">
        <v>4028</v>
      </c>
      <c r="G908" s="12" t="s">
        <v>4029</v>
      </c>
    </row>
    <row r="909" spans="1:7" ht="24" x14ac:dyDescent="0.25">
      <c r="A909" s="13" t="s">
        <v>3910</v>
      </c>
      <c r="B909" s="14" t="s">
        <v>1834</v>
      </c>
      <c r="C909" s="32" t="s">
        <v>895</v>
      </c>
      <c r="D909" s="14" t="s">
        <v>1880</v>
      </c>
      <c r="E909" s="15" t="s">
        <v>2189</v>
      </c>
      <c r="F909" s="16" t="s">
        <v>4030</v>
      </c>
      <c r="G909" s="16" t="s">
        <v>4031</v>
      </c>
    </row>
    <row r="910" spans="1:7" x14ac:dyDescent="0.25">
      <c r="A910" s="9" t="s">
        <v>3910</v>
      </c>
      <c r="B910" s="10" t="s">
        <v>1834</v>
      </c>
      <c r="C910" s="31" t="s">
        <v>896</v>
      </c>
      <c r="D910" s="10" t="s">
        <v>1881</v>
      </c>
      <c r="E910" s="11" t="s">
        <v>2189</v>
      </c>
      <c r="F910" s="12" t="s">
        <v>4032</v>
      </c>
      <c r="G910" s="12" t="s">
        <v>4033</v>
      </c>
    </row>
    <row r="911" spans="1:7" ht="24" x14ac:dyDescent="0.25">
      <c r="A911" s="13" t="s">
        <v>3910</v>
      </c>
      <c r="B911" s="14" t="s">
        <v>1834</v>
      </c>
      <c r="C911" s="32" t="s">
        <v>897</v>
      </c>
      <c r="D911" s="14" t="s">
        <v>1882</v>
      </c>
      <c r="E911" s="15" t="s">
        <v>2189</v>
      </c>
      <c r="F911" s="16" t="s">
        <v>4034</v>
      </c>
      <c r="G911" s="16" t="s">
        <v>4035</v>
      </c>
    </row>
    <row r="912" spans="1:7" ht="24" x14ac:dyDescent="0.25">
      <c r="A912" s="9" t="s">
        <v>3910</v>
      </c>
      <c r="B912" s="10" t="s">
        <v>1834</v>
      </c>
      <c r="C912" s="31" t="s">
        <v>898</v>
      </c>
      <c r="D912" s="10" t="s">
        <v>1883</v>
      </c>
      <c r="E912" s="11" t="s">
        <v>2189</v>
      </c>
      <c r="F912" s="12" t="s">
        <v>4036</v>
      </c>
      <c r="G912" s="12" t="s">
        <v>4037</v>
      </c>
    </row>
    <row r="913" spans="1:7" ht="24" x14ac:dyDescent="0.25">
      <c r="A913" s="13" t="s">
        <v>3910</v>
      </c>
      <c r="B913" s="14" t="s">
        <v>1834</v>
      </c>
      <c r="C913" s="32" t="s">
        <v>899</v>
      </c>
      <c r="D913" s="14" t="s">
        <v>1884</v>
      </c>
      <c r="E913" s="15" t="s">
        <v>2189</v>
      </c>
      <c r="F913" s="16" t="s">
        <v>4038</v>
      </c>
      <c r="G913" s="16" t="s">
        <v>4039</v>
      </c>
    </row>
    <row r="914" spans="1:7" x14ac:dyDescent="0.25">
      <c r="A914" s="9" t="s">
        <v>3910</v>
      </c>
      <c r="B914" s="10" t="s">
        <v>1834</v>
      </c>
      <c r="C914" s="31" t="s">
        <v>900</v>
      </c>
      <c r="D914" s="10" t="s">
        <v>1125</v>
      </c>
      <c r="E914" s="11" t="s">
        <v>2189</v>
      </c>
      <c r="F914" s="12" t="s">
        <v>4040</v>
      </c>
      <c r="G914" s="12" t="s">
        <v>4041</v>
      </c>
    </row>
    <row r="915" spans="1:7" ht="24" x14ac:dyDescent="0.25">
      <c r="A915" s="13" t="s">
        <v>3910</v>
      </c>
      <c r="B915" s="14" t="s">
        <v>1834</v>
      </c>
      <c r="C915" s="32" t="s">
        <v>901</v>
      </c>
      <c r="D915" s="14" t="s">
        <v>1885</v>
      </c>
      <c r="E915" s="15" t="s">
        <v>2189</v>
      </c>
      <c r="F915" s="16" t="s">
        <v>4042</v>
      </c>
      <c r="G915" s="16" t="s">
        <v>4043</v>
      </c>
    </row>
    <row r="916" spans="1:7" ht="24" x14ac:dyDescent="0.25">
      <c r="A916" s="9" t="s">
        <v>3910</v>
      </c>
      <c r="B916" s="10" t="s">
        <v>1834</v>
      </c>
      <c r="C916" s="31" t="s">
        <v>902</v>
      </c>
      <c r="D916" s="10" t="s">
        <v>1169</v>
      </c>
      <c r="E916" s="11" t="s">
        <v>2189</v>
      </c>
      <c r="F916" s="12" t="s">
        <v>4044</v>
      </c>
      <c r="G916" s="12" t="s">
        <v>4045</v>
      </c>
    </row>
    <row r="917" spans="1:7" x14ac:dyDescent="0.25">
      <c r="A917" s="13" t="s">
        <v>3910</v>
      </c>
      <c r="B917" s="14" t="s">
        <v>1834</v>
      </c>
      <c r="C917" s="32" t="s">
        <v>903</v>
      </c>
      <c r="D917" s="14" t="s">
        <v>1886</v>
      </c>
      <c r="E917" s="15" t="s">
        <v>2189</v>
      </c>
      <c r="F917" s="16" t="s">
        <v>4046</v>
      </c>
      <c r="G917" s="16" t="s">
        <v>4047</v>
      </c>
    </row>
    <row r="918" spans="1:7" x14ac:dyDescent="0.25">
      <c r="A918" s="9" t="s">
        <v>3910</v>
      </c>
      <c r="B918" s="10" t="s">
        <v>1834</v>
      </c>
      <c r="C918" s="31" t="s">
        <v>904</v>
      </c>
      <c r="D918" s="10" t="s">
        <v>1887</v>
      </c>
      <c r="E918" s="11" t="s">
        <v>2189</v>
      </c>
      <c r="F918" s="12" t="s">
        <v>4048</v>
      </c>
      <c r="G918" s="12" t="s">
        <v>4049</v>
      </c>
    </row>
    <row r="919" spans="1:7" ht="24" x14ac:dyDescent="0.25">
      <c r="A919" s="13" t="s">
        <v>3910</v>
      </c>
      <c r="B919" s="14" t="s">
        <v>1834</v>
      </c>
      <c r="C919" s="32" t="s">
        <v>905</v>
      </c>
      <c r="D919" s="14" t="s">
        <v>1888</v>
      </c>
      <c r="E919" s="15" t="s">
        <v>2189</v>
      </c>
      <c r="F919" s="16" t="s">
        <v>4050</v>
      </c>
      <c r="G919" s="16" t="s">
        <v>4051</v>
      </c>
    </row>
    <row r="920" spans="1:7" ht="24" x14ac:dyDescent="0.25">
      <c r="A920" s="9" t="s">
        <v>3910</v>
      </c>
      <c r="B920" s="10" t="s">
        <v>1834</v>
      </c>
      <c r="C920" s="31" t="s">
        <v>906</v>
      </c>
      <c r="D920" s="10" t="s">
        <v>1889</v>
      </c>
      <c r="E920" s="11" t="s">
        <v>2189</v>
      </c>
      <c r="F920" s="12" t="s">
        <v>4052</v>
      </c>
      <c r="G920" s="12" t="s">
        <v>4053</v>
      </c>
    </row>
    <row r="921" spans="1:7" x14ac:dyDescent="0.25">
      <c r="A921" s="13" t="s">
        <v>3910</v>
      </c>
      <c r="B921" s="14" t="s">
        <v>1834</v>
      </c>
      <c r="C921" s="32" t="s">
        <v>2109</v>
      </c>
      <c r="D921" s="14" t="s">
        <v>1807</v>
      </c>
      <c r="E921" s="15" t="s">
        <v>2189</v>
      </c>
      <c r="F921" s="16" t="s">
        <v>4054</v>
      </c>
      <c r="G921" s="16" t="s">
        <v>4055</v>
      </c>
    </row>
    <row r="922" spans="1:7" ht="36" x14ac:dyDescent="0.25">
      <c r="A922" s="9" t="s">
        <v>3910</v>
      </c>
      <c r="B922" s="10" t="s">
        <v>1834</v>
      </c>
      <c r="C922" s="31" t="s">
        <v>907</v>
      </c>
      <c r="D922" s="10" t="s">
        <v>1890</v>
      </c>
      <c r="E922" s="11" t="s">
        <v>2189</v>
      </c>
      <c r="F922" s="12" t="s">
        <v>4056</v>
      </c>
      <c r="G922" s="12" t="s">
        <v>4057</v>
      </c>
    </row>
    <row r="923" spans="1:7" ht="24" x14ac:dyDescent="0.25">
      <c r="A923" s="13" t="s">
        <v>3910</v>
      </c>
      <c r="B923" s="14" t="s">
        <v>1834</v>
      </c>
      <c r="C923" s="32" t="s">
        <v>908</v>
      </c>
      <c r="D923" s="14" t="s">
        <v>1139</v>
      </c>
      <c r="E923" s="15" t="s">
        <v>2189</v>
      </c>
      <c r="F923" s="16" t="s">
        <v>4058</v>
      </c>
      <c r="G923" s="16" t="s">
        <v>4059</v>
      </c>
    </row>
    <row r="924" spans="1:7" ht="36" x14ac:dyDescent="0.25">
      <c r="A924" s="9" t="s">
        <v>3910</v>
      </c>
      <c r="B924" s="10" t="s">
        <v>1834</v>
      </c>
      <c r="C924" s="31" t="s">
        <v>909</v>
      </c>
      <c r="D924" s="10" t="s">
        <v>1891</v>
      </c>
      <c r="E924" s="11" t="s">
        <v>2189</v>
      </c>
      <c r="F924" s="12" t="s">
        <v>4060</v>
      </c>
      <c r="G924" s="12" t="s">
        <v>4061</v>
      </c>
    </row>
    <row r="925" spans="1:7" x14ac:dyDescent="0.25">
      <c r="A925" s="13" t="s">
        <v>3910</v>
      </c>
      <c r="B925" s="14" t="s">
        <v>1834</v>
      </c>
      <c r="C925" s="32" t="s">
        <v>2102</v>
      </c>
      <c r="D925" s="14" t="s">
        <v>2172</v>
      </c>
      <c r="E925" s="15" t="s">
        <v>2189</v>
      </c>
      <c r="F925" s="16" t="s">
        <v>4062</v>
      </c>
      <c r="G925" s="16" t="s">
        <v>4063</v>
      </c>
    </row>
    <row r="926" spans="1:7" x14ac:dyDescent="0.25">
      <c r="A926" s="9" t="s">
        <v>3910</v>
      </c>
      <c r="B926" s="10" t="s">
        <v>1834</v>
      </c>
      <c r="C926" s="31" t="s">
        <v>910</v>
      </c>
      <c r="D926" s="10" t="s">
        <v>1892</v>
      </c>
      <c r="E926" s="11" t="s">
        <v>2189</v>
      </c>
      <c r="F926" s="12" t="s">
        <v>4064</v>
      </c>
      <c r="G926" s="12" t="s">
        <v>4065</v>
      </c>
    </row>
    <row r="927" spans="1:7" x14ac:dyDescent="0.25">
      <c r="A927" s="13" t="s">
        <v>3910</v>
      </c>
      <c r="B927" s="14" t="s">
        <v>1834</v>
      </c>
      <c r="C927" s="32" t="s">
        <v>911</v>
      </c>
      <c r="D927" s="14" t="s">
        <v>1893</v>
      </c>
      <c r="E927" s="15" t="s">
        <v>2189</v>
      </c>
      <c r="F927" s="16" t="s">
        <v>4066</v>
      </c>
      <c r="G927" s="16" t="s">
        <v>4067</v>
      </c>
    </row>
    <row r="928" spans="1:7" x14ac:dyDescent="0.25">
      <c r="A928" s="9" t="s">
        <v>3910</v>
      </c>
      <c r="B928" s="10" t="s">
        <v>1834</v>
      </c>
      <c r="C928" s="31" t="s">
        <v>912</v>
      </c>
      <c r="D928" s="10" t="s">
        <v>1422</v>
      </c>
      <c r="E928" s="11" t="s">
        <v>2189</v>
      </c>
      <c r="F928" s="12" t="s">
        <v>4068</v>
      </c>
      <c r="G928" s="12" t="s">
        <v>4069</v>
      </c>
    </row>
    <row r="929" spans="1:7" x14ac:dyDescent="0.25">
      <c r="A929" s="13" t="s">
        <v>3910</v>
      </c>
      <c r="B929" s="14" t="s">
        <v>1834</v>
      </c>
      <c r="C929" s="32" t="s">
        <v>2097</v>
      </c>
      <c r="D929" s="14" t="s">
        <v>2167</v>
      </c>
      <c r="E929" s="15" t="s">
        <v>2189</v>
      </c>
      <c r="F929" s="16" t="s">
        <v>4070</v>
      </c>
      <c r="G929" s="16" t="s">
        <v>4071</v>
      </c>
    </row>
    <row r="930" spans="1:7" x14ac:dyDescent="0.25">
      <c r="A930" s="9" t="s">
        <v>3910</v>
      </c>
      <c r="B930" s="10" t="s">
        <v>1834</v>
      </c>
      <c r="C930" s="31" t="s">
        <v>913</v>
      </c>
      <c r="D930" s="10" t="s">
        <v>1894</v>
      </c>
      <c r="E930" s="11" t="s">
        <v>2189</v>
      </c>
      <c r="F930" s="12" t="s">
        <v>4072</v>
      </c>
      <c r="G930" s="12" t="s">
        <v>4073</v>
      </c>
    </row>
    <row r="931" spans="1:7" ht="24" x14ac:dyDescent="0.25">
      <c r="A931" s="13" t="s">
        <v>3910</v>
      </c>
      <c r="B931" s="14" t="s">
        <v>1834</v>
      </c>
      <c r="C931" s="32" t="s">
        <v>914</v>
      </c>
      <c r="D931" s="14" t="s">
        <v>1895</v>
      </c>
      <c r="E931" s="15" t="s">
        <v>2189</v>
      </c>
      <c r="F931" s="16" t="s">
        <v>4074</v>
      </c>
      <c r="G931" s="16" t="s">
        <v>4075</v>
      </c>
    </row>
    <row r="932" spans="1:7" x14ac:dyDescent="0.25">
      <c r="A932" s="9" t="s">
        <v>3910</v>
      </c>
      <c r="B932" s="10" t="s">
        <v>1834</v>
      </c>
      <c r="C932" s="31" t="s">
        <v>915</v>
      </c>
      <c r="D932" s="10" t="s">
        <v>1896</v>
      </c>
      <c r="E932" s="11" t="s">
        <v>2189</v>
      </c>
      <c r="F932" s="12" t="s">
        <v>4076</v>
      </c>
      <c r="G932" s="12" t="s">
        <v>4077</v>
      </c>
    </row>
    <row r="933" spans="1:7" x14ac:dyDescent="0.25">
      <c r="A933" s="13" t="s">
        <v>3910</v>
      </c>
      <c r="B933" s="14" t="s">
        <v>1834</v>
      </c>
      <c r="C933" s="32" t="s">
        <v>916</v>
      </c>
      <c r="D933" s="14" t="s">
        <v>1897</v>
      </c>
      <c r="E933" s="15" t="s">
        <v>2189</v>
      </c>
      <c r="F933" s="16" t="s">
        <v>4078</v>
      </c>
      <c r="G933" s="16" t="s">
        <v>4079</v>
      </c>
    </row>
    <row r="934" spans="1:7" x14ac:dyDescent="0.25">
      <c r="A934" s="9" t="s">
        <v>3910</v>
      </c>
      <c r="B934" s="10" t="s">
        <v>1834</v>
      </c>
      <c r="C934" s="31" t="s">
        <v>917</v>
      </c>
      <c r="D934" s="10" t="s">
        <v>1236</v>
      </c>
      <c r="E934" s="11" t="s">
        <v>2189</v>
      </c>
      <c r="F934" s="12" t="s">
        <v>4080</v>
      </c>
      <c r="G934" s="12" t="s">
        <v>4081</v>
      </c>
    </row>
    <row r="935" spans="1:7" x14ac:dyDescent="0.25">
      <c r="A935" s="13" t="s">
        <v>3910</v>
      </c>
      <c r="B935" s="14" t="s">
        <v>1834</v>
      </c>
      <c r="C935" s="32" t="s">
        <v>918</v>
      </c>
      <c r="D935" s="14" t="s">
        <v>1898</v>
      </c>
      <c r="E935" s="15" t="s">
        <v>2189</v>
      </c>
      <c r="F935" s="16" t="s">
        <v>4082</v>
      </c>
      <c r="G935" s="16" t="s">
        <v>4083</v>
      </c>
    </row>
    <row r="936" spans="1:7" x14ac:dyDescent="0.25">
      <c r="A936" s="9" t="s">
        <v>4084</v>
      </c>
      <c r="B936" s="10" t="s">
        <v>1422</v>
      </c>
      <c r="C936" s="31" t="s">
        <v>919</v>
      </c>
      <c r="D936" s="10" t="s">
        <v>1899</v>
      </c>
      <c r="E936" s="11" t="s">
        <v>2189</v>
      </c>
      <c r="F936" s="12" t="s">
        <v>4085</v>
      </c>
      <c r="G936" s="12" t="s">
        <v>4086</v>
      </c>
    </row>
    <row r="937" spans="1:7" x14ac:dyDescent="0.25">
      <c r="A937" s="13" t="s">
        <v>4084</v>
      </c>
      <c r="B937" s="14" t="s">
        <v>1422</v>
      </c>
      <c r="C937" s="32" t="s">
        <v>920</v>
      </c>
      <c r="D937" s="14" t="s">
        <v>1244</v>
      </c>
      <c r="E937" s="15" t="s">
        <v>2189</v>
      </c>
      <c r="F937" s="16" t="s">
        <v>4087</v>
      </c>
      <c r="G937" s="16" t="s">
        <v>4088</v>
      </c>
    </row>
    <row r="938" spans="1:7" x14ac:dyDescent="0.25">
      <c r="A938" s="9" t="s">
        <v>4084</v>
      </c>
      <c r="B938" s="10" t="s">
        <v>1422</v>
      </c>
      <c r="C938" s="31" t="s">
        <v>921</v>
      </c>
      <c r="D938" s="10" t="s">
        <v>1900</v>
      </c>
      <c r="E938" s="11" t="s">
        <v>2189</v>
      </c>
      <c r="F938" s="12" t="s">
        <v>4089</v>
      </c>
      <c r="G938" s="12" t="s">
        <v>4090</v>
      </c>
    </row>
    <row r="939" spans="1:7" x14ac:dyDescent="0.25">
      <c r="A939" s="13" t="s">
        <v>4084</v>
      </c>
      <c r="B939" s="14" t="s">
        <v>1422</v>
      </c>
      <c r="C939" s="32" t="s">
        <v>922</v>
      </c>
      <c r="D939" s="14" t="s">
        <v>2035</v>
      </c>
      <c r="E939" s="15" t="s">
        <v>2189</v>
      </c>
      <c r="F939" s="16" t="s">
        <v>4091</v>
      </c>
      <c r="G939" s="16" t="s">
        <v>4092</v>
      </c>
    </row>
    <row r="940" spans="1:7" x14ac:dyDescent="0.25">
      <c r="A940" s="9" t="s">
        <v>4084</v>
      </c>
      <c r="B940" s="10" t="s">
        <v>1422</v>
      </c>
      <c r="C940" s="31" t="s">
        <v>923</v>
      </c>
      <c r="D940" s="10" t="s">
        <v>1901</v>
      </c>
      <c r="E940" s="11" t="s">
        <v>2189</v>
      </c>
      <c r="F940" s="12" t="s">
        <v>4093</v>
      </c>
      <c r="G940" s="12" t="s">
        <v>4094</v>
      </c>
    </row>
    <row r="941" spans="1:7" x14ac:dyDescent="0.25">
      <c r="A941" s="13" t="s">
        <v>4084</v>
      </c>
      <c r="B941" s="14" t="s">
        <v>1422</v>
      </c>
      <c r="C941" s="32" t="s">
        <v>924</v>
      </c>
      <c r="D941" s="14" t="s">
        <v>1902</v>
      </c>
      <c r="E941" s="15" t="s">
        <v>2189</v>
      </c>
      <c r="F941" s="16" t="s">
        <v>4095</v>
      </c>
      <c r="G941" s="16" t="s">
        <v>4096</v>
      </c>
    </row>
    <row r="942" spans="1:7" x14ac:dyDescent="0.25">
      <c r="A942" s="9" t="s">
        <v>4084</v>
      </c>
      <c r="B942" s="10" t="s">
        <v>1422</v>
      </c>
      <c r="C942" s="31" t="s">
        <v>925</v>
      </c>
      <c r="D942" s="10" t="s">
        <v>1903</v>
      </c>
      <c r="E942" s="11" t="s">
        <v>2189</v>
      </c>
      <c r="F942" s="12" t="s">
        <v>4097</v>
      </c>
      <c r="G942" s="12" t="s">
        <v>4098</v>
      </c>
    </row>
    <row r="943" spans="1:7" x14ac:dyDescent="0.25">
      <c r="A943" s="13" t="s">
        <v>4084</v>
      </c>
      <c r="B943" s="14" t="s">
        <v>1422</v>
      </c>
      <c r="C943" s="32" t="s">
        <v>926</v>
      </c>
      <c r="D943" s="14" t="s">
        <v>1904</v>
      </c>
      <c r="E943" s="15" t="s">
        <v>2189</v>
      </c>
      <c r="F943" s="16" t="s">
        <v>4099</v>
      </c>
      <c r="G943" s="16" t="s">
        <v>4100</v>
      </c>
    </row>
    <row r="944" spans="1:7" x14ac:dyDescent="0.25">
      <c r="A944" s="9" t="s">
        <v>4084</v>
      </c>
      <c r="B944" s="10" t="s">
        <v>1422</v>
      </c>
      <c r="C944" s="31" t="s">
        <v>927</v>
      </c>
      <c r="D944" s="10" t="s">
        <v>1905</v>
      </c>
      <c r="E944" s="11" t="s">
        <v>2189</v>
      </c>
      <c r="F944" s="12" t="s">
        <v>4101</v>
      </c>
      <c r="G944" s="12" t="s">
        <v>4102</v>
      </c>
    </row>
    <row r="945" spans="1:7" x14ac:dyDescent="0.25">
      <c r="A945" s="13" t="s">
        <v>4084</v>
      </c>
      <c r="B945" s="14" t="s">
        <v>1422</v>
      </c>
      <c r="C945" s="32" t="s">
        <v>928</v>
      </c>
      <c r="D945" s="14" t="s">
        <v>1906</v>
      </c>
      <c r="E945" s="15" t="s">
        <v>2189</v>
      </c>
      <c r="F945" s="16" t="s">
        <v>4103</v>
      </c>
      <c r="G945" s="16" t="s">
        <v>4104</v>
      </c>
    </row>
    <row r="946" spans="1:7" x14ac:dyDescent="0.25">
      <c r="A946" s="9" t="s">
        <v>4084</v>
      </c>
      <c r="B946" s="10" t="s">
        <v>1422</v>
      </c>
      <c r="C946" s="31" t="s">
        <v>929</v>
      </c>
      <c r="D946" s="10" t="s">
        <v>1108</v>
      </c>
      <c r="E946" s="11" t="s">
        <v>2189</v>
      </c>
      <c r="F946" s="12" t="s">
        <v>4105</v>
      </c>
      <c r="G946" s="12" t="s">
        <v>4106</v>
      </c>
    </row>
    <row r="947" spans="1:7" ht="24" x14ac:dyDescent="0.25">
      <c r="A947" s="13" t="s">
        <v>4084</v>
      </c>
      <c r="B947" s="14" t="s">
        <v>1422</v>
      </c>
      <c r="C947" s="32" t="s">
        <v>930</v>
      </c>
      <c r="D947" s="14" t="s">
        <v>1907</v>
      </c>
      <c r="E947" s="15" t="s">
        <v>2189</v>
      </c>
      <c r="F947" s="16" t="s">
        <v>4107</v>
      </c>
      <c r="G947" s="16" t="s">
        <v>4108</v>
      </c>
    </row>
    <row r="948" spans="1:7" x14ac:dyDescent="0.25">
      <c r="A948" s="9" t="s">
        <v>4084</v>
      </c>
      <c r="B948" s="10" t="s">
        <v>1422</v>
      </c>
      <c r="C948" s="31" t="s">
        <v>931</v>
      </c>
      <c r="D948" s="10" t="s">
        <v>1908</v>
      </c>
      <c r="E948" s="11" t="s">
        <v>2189</v>
      </c>
      <c r="F948" s="12" t="s">
        <v>4109</v>
      </c>
      <c r="G948" s="12" t="s">
        <v>4110</v>
      </c>
    </row>
    <row r="949" spans="1:7" x14ac:dyDescent="0.25">
      <c r="A949" s="13" t="s">
        <v>4084</v>
      </c>
      <c r="B949" s="14" t="s">
        <v>1422</v>
      </c>
      <c r="C949" s="32" t="s">
        <v>932</v>
      </c>
      <c r="D949" s="14" t="s">
        <v>1909</v>
      </c>
      <c r="E949" s="15" t="s">
        <v>2189</v>
      </c>
      <c r="F949" s="16" t="s">
        <v>4111</v>
      </c>
      <c r="G949" s="16" t="s">
        <v>4112</v>
      </c>
    </row>
    <row r="950" spans="1:7" x14ac:dyDescent="0.25">
      <c r="A950" s="9" t="s">
        <v>4084</v>
      </c>
      <c r="B950" s="10" t="s">
        <v>1422</v>
      </c>
      <c r="C950" s="31" t="s">
        <v>933</v>
      </c>
      <c r="D950" s="10" t="s">
        <v>1910</v>
      </c>
      <c r="E950" s="11" t="s">
        <v>2189</v>
      </c>
      <c r="F950" s="12" t="s">
        <v>4113</v>
      </c>
      <c r="G950" s="12" t="s">
        <v>4114</v>
      </c>
    </row>
    <row r="951" spans="1:7" x14ac:dyDescent="0.25">
      <c r="A951" s="13" t="s">
        <v>4084</v>
      </c>
      <c r="B951" s="14" t="s">
        <v>1422</v>
      </c>
      <c r="C951" s="32" t="s">
        <v>934</v>
      </c>
      <c r="D951" s="14" t="s">
        <v>1911</v>
      </c>
      <c r="E951" s="15" t="s">
        <v>2189</v>
      </c>
      <c r="F951" s="16" t="s">
        <v>4115</v>
      </c>
      <c r="G951" s="16" t="s">
        <v>4116</v>
      </c>
    </row>
    <row r="952" spans="1:7" x14ac:dyDescent="0.25">
      <c r="A952" s="9" t="s">
        <v>4084</v>
      </c>
      <c r="B952" s="10" t="s">
        <v>1422</v>
      </c>
      <c r="C952" s="31" t="s">
        <v>935</v>
      </c>
      <c r="D952" s="10" t="s">
        <v>1912</v>
      </c>
      <c r="E952" s="11" t="s">
        <v>2189</v>
      </c>
      <c r="F952" s="12" t="s">
        <v>4117</v>
      </c>
      <c r="G952" s="12" t="s">
        <v>4118</v>
      </c>
    </row>
    <row r="953" spans="1:7" ht="24" x14ac:dyDescent="0.25">
      <c r="A953" s="13" t="s">
        <v>4084</v>
      </c>
      <c r="B953" s="14" t="s">
        <v>1422</v>
      </c>
      <c r="C953" s="32" t="s">
        <v>936</v>
      </c>
      <c r="D953" s="14" t="s">
        <v>1913</v>
      </c>
      <c r="E953" s="15" t="s">
        <v>2189</v>
      </c>
      <c r="F953" s="16" t="s">
        <v>4119</v>
      </c>
      <c r="G953" s="16" t="s">
        <v>4120</v>
      </c>
    </row>
    <row r="954" spans="1:7" ht="24" x14ac:dyDescent="0.25">
      <c r="A954" s="9" t="s">
        <v>4084</v>
      </c>
      <c r="B954" s="10" t="s">
        <v>1422</v>
      </c>
      <c r="C954" s="31" t="s">
        <v>937</v>
      </c>
      <c r="D954" s="10" t="s">
        <v>1914</v>
      </c>
      <c r="E954" s="11" t="s">
        <v>2189</v>
      </c>
      <c r="F954" s="12" t="s">
        <v>4121</v>
      </c>
      <c r="G954" s="12" t="s">
        <v>4122</v>
      </c>
    </row>
    <row r="955" spans="1:7" ht="24" x14ac:dyDescent="0.25">
      <c r="A955" s="13" t="s">
        <v>4084</v>
      </c>
      <c r="B955" s="14" t="s">
        <v>1422</v>
      </c>
      <c r="C955" s="32" t="s">
        <v>938</v>
      </c>
      <c r="D955" s="14" t="s">
        <v>1915</v>
      </c>
      <c r="E955" s="15" t="s">
        <v>2189</v>
      </c>
      <c r="F955" s="16" t="s">
        <v>4123</v>
      </c>
      <c r="G955" s="16" t="s">
        <v>4124</v>
      </c>
    </row>
    <row r="956" spans="1:7" ht="24" x14ac:dyDescent="0.25">
      <c r="A956" s="9" t="s">
        <v>4084</v>
      </c>
      <c r="B956" s="10" t="s">
        <v>1422</v>
      </c>
      <c r="C956" s="31" t="s">
        <v>939</v>
      </c>
      <c r="D956" s="10" t="s">
        <v>1916</v>
      </c>
      <c r="E956" s="11" t="s">
        <v>2189</v>
      </c>
      <c r="F956" s="12" t="s">
        <v>4125</v>
      </c>
      <c r="G956" s="12" t="s">
        <v>4126</v>
      </c>
    </row>
    <row r="957" spans="1:7" x14ac:dyDescent="0.25">
      <c r="A957" s="13" t="s">
        <v>4084</v>
      </c>
      <c r="B957" s="14" t="s">
        <v>1422</v>
      </c>
      <c r="C957" s="32" t="s">
        <v>940</v>
      </c>
      <c r="D957" s="14" t="s">
        <v>1917</v>
      </c>
      <c r="E957" s="15" t="s">
        <v>2189</v>
      </c>
      <c r="F957" s="16" t="s">
        <v>4127</v>
      </c>
      <c r="G957" s="16" t="s">
        <v>4128</v>
      </c>
    </row>
    <row r="958" spans="1:7" ht="24" x14ac:dyDescent="0.25">
      <c r="A958" s="9" t="s">
        <v>4084</v>
      </c>
      <c r="B958" s="10" t="s">
        <v>1422</v>
      </c>
      <c r="C958" s="31" t="s">
        <v>941</v>
      </c>
      <c r="D958" s="10" t="s">
        <v>1918</v>
      </c>
      <c r="E958" s="11" t="s">
        <v>2189</v>
      </c>
      <c r="F958" s="12" t="s">
        <v>4129</v>
      </c>
      <c r="G958" s="12" t="s">
        <v>4130</v>
      </c>
    </row>
    <row r="959" spans="1:7" x14ac:dyDescent="0.25">
      <c r="A959" s="13" t="s">
        <v>4084</v>
      </c>
      <c r="B959" s="14" t="s">
        <v>1422</v>
      </c>
      <c r="C959" s="32" t="s">
        <v>942</v>
      </c>
      <c r="D959" s="14" t="s">
        <v>1422</v>
      </c>
      <c r="E959" s="15" t="s">
        <v>2189</v>
      </c>
      <c r="F959" s="16" t="s">
        <v>4131</v>
      </c>
      <c r="G959" s="16" t="s">
        <v>4132</v>
      </c>
    </row>
    <row r="960" spans="1:7" ht="24" x14ac:dyDescent="0.25">
      <c r="A960" s="9" t="s">
        <v>4084</v>
      </c>
      <c r="B960" s="10" t="s">
        <v>1422</v>
      </c>
      <c r="C960" s="31" t="s">
        <v>943</v>
      </c>
      <c r="D960" s="10" t="s">
        <v>1919</v>
      </c>
      <c r="E960" s="11" t="s">
        <v>2189</v>
      </c>
      <c r="F960" s="12" t="s">
        <v>4133</v>
      </c>
      <c r="G960" s="12" t="s">
        <v>4134</v>
      </c>
    </row>
    <row r="961" spans="1:7" ht="36" x14ac:dyDescent="0.25">
      <c r="A961" s="13" t="s">
        <v>4084</v>
      </c>
      <c r="B961" s="14" t="s">
        <v>1422</v>
      </c>
      <c r="C961" s="32" t="s">
        <v>944</v>
      </c>
      <c r="D961" s="14" t="s">
        <v>2036</v>
      </c>
      <c r="E961" s="15" t="s">
        <v>2189</v>
      </c>
      <c r="F961" s="16" t="s">
        <v>4135</v>
      </c>
      <c r="G961" s="16" t="s">
        <v>4136</v>
      </c>
    </row>
    <row r="962" spans="1:7" x14ac:dyDescent="0.25">
      <c r="A962" s="9" t="s">
        <v>4137</v>
      </c>
      <c r="B962" s="10" t="s">
        <v>1920</v>
      </c>
      <c r="C962" s="31" t="s">
        <v>945</v>
      </c>
      <c r="D962" s="10" t="s">
        <v>1921</v>
      </c>
      <c r="E962" s="11" t="s">
        <v>2189</v>
      </c>
      <c r="F962" s="12" t="s">
        <v>4138</v>
      </c>
      <c r="G962" s="12" t="s">
        <v>4139</v>
      </c>
    </row>
    <row r="963" spans="1:7" x14ac:dyDescent="0.25">
      <c r="A963" s="13" t="s">
        <v>4137</v>
      </c>
      <c r="B963" s="14" t="s">
        <v>1920</v>
      </c>
      <c r="C963" s="32" t="s">
        <v>946</v>
      </c>
      <c r="D963" s="14" t="s">
        <v>1922</v>
      </c>
      <c r="E963" s="15" t="s">
        <v>2189</v>
      </c>
      <c r="F963" s="16" t="s">
        <v>4140</v>
      </c>
      <c r="G963" s="16" t="s">
        <v>4141</v>
      </c>
    </row>
    <row r="964" spans="1:7" x14ac:dyDescent="0.25">
      <c r="A964" s="9" t="s">
        <v>4137</v>
      </c>
      <c r="B964" s="10" t="s">
        <v>1920</v>
      </c>
      <c r="C964" s="31" t="s">
        <v>947</v>
      </c>
      <c r="D964" s="10" t="s">
        <v>1923</v>
      </c>
      <c r="E964" s="11" t="s">
        <v>2189</v>
      </c>
      <c r="F964" s="12" t="s">
        <v>4142</v>
      </c>
      <c r="G964" s="12" t="s">
        <v>4143</v>
      </c>
    </row>
    <row r="965" spans="1:7" x14ac:dyDescent="0.25">
      <c r="A965" s="13" t="s">
        <v>4137</v>
      </c>
      <c r="B965" s="14" t="s">
        <v>1920</v>
      </c>
      <c r="C965" s="32" t="s">
        <v>948</v>
      </c>
      <c r="D965" s="14" t="s">
        <v>1924</v>
      </c>
      <c r="E965" s="15" t="s">
        <v>2189</v>
      </c>
      <c r="F965" s="16" t="s">
        <v>4144</v>
      </c>
      <c r="G965" s="16" t="s">
        <v>4145</v>
      </c>
    </row>
    <row r="966" spans="1:7" ht="24" x14ac:dyDescent="0.25">
      <c r="A966" s="9" t="s">
        <v>4137</v>
      </c>
      <c r="B966" s="10" t="s">
        <v>1920</v>
      </c>
      <c r="C966" s="31" t="s">
        <v>949</v>
      </c>
      <c r="D966" s="10" t="s">
        <v>1925</v>
      </c>
      <c r="E966" s="11" t="s">
        <v>2189</v>
      </c>
      <c r="F966" s="12" t="s">
        <v>4146</v>
      </c>
      <c r="G966" s="12" t="s">
        <v>4147</v>
      </c>
    </row>
    <row r="967" spans="1:7" x14ac:dyDescent="0.25">
      <c r="A967" s="13" t="s">
        <v>4137</v>
      </c>
      <c r="B967" s="14" t="s">
        <v>1920</v>
      </c>
      <c r="C967" s="32" t="s">
        <v>950</v>
      </c>
      <c r="D967" s="14" t="s">
        <v>1926</v>
      </c>
      <c r="E967" s="15" t="s">
        <v>2189</v>
      </c>
      <c r="F967" s="16" t="s">
        <v>4148</v>
      </c>
      <c r="G967" s="16" t="s">
        <v>4149</v>
      </c>
    </row>
    <row r="968" spans="1:7" x14ac:dyDescent="0.25">
      <c r="A968" s="9" t="s">
        <v>4137</v>
      </c>
      <c r="B968" s="10" t="s">
        <v>1920</v>
      </c>
      <c r="C968" s="31" t="s">
        <v>951</v>
      </c>
      <c r="D968" s="10" t="s">
        <v>1927</v>
      </c>
      <c r="E968" s="11" t="s">
        <v>2189</v>
      </c>
      <c r="F968" s="12" t="s">
        <v>4150</v>
      </c>
      <c r="G968" s="12" t="s">
        <v>4151</v>
      </c>
    </row>
    <row r="969" spans="1:7" x14ac:dyDescent="0.25">
      <c r="A969" s="13" t="s">
        <v>4137</v>
      </c>
      <c r="B969" s="14" t="s">
        <v>1920</v>
      </c>
      <c r="C969" s="32" t="s">
        <v>952</v>
      </c>
      <c r="D969" s="14" t="s">
        <v>1928</v>
      </c>
      <c r="E969" s="15" t="s">
        <v>2189</v>
      </c>
      <c r="F969" s="16" t="s">
        <v>4152</v>
      </c>
      <c r="G969" s="16" t="s">
        <v>4153</v>
      </c>
    </row>
    <row r="970" spans="1:7" ht="24" x14ac:dyDescent="0.25">
      <c r="A970" s="9" t="s">
        <v>4137</v>
      </c>
      <c r="B970" s="10" t="s">
        <v>1920</v>
      </c>
      <c r="C970" s="31" t="s">
        <v>953</v>
      </c>
      <c r="D970" s="10" t="s">
        <v>1929</v>
      </c>
      <c r="E970" s="11" t="s">
        <v>2189</v>
      </c>
      <c r="F970" s="12" t="s">
        <v>4154</v>
      </c>
      <c r="G970" s="12" t="s">
        <v>4155</v>
      </c>
    </row>
    <row r="971" spans="1:7" ht="24" x14ac:dyDescent="0.25">
      <c r="A971" s="13" t="s">
        <v>4137</v>
      </c>
      <c r="B971" s="14" t="s">
        <v>1920</v>
      </c>
      <c r="C971" s="32" t="s">
        <v>954</v>
      </c>
      <c r="D971" s="14" t="s">
        <v>1930</v>
      </c>
      <c r="E971" s="15" t="s">
        <v>2189</v>
      </c>
      <c r="F971" s="16" t="s">
        <v>4156</v>
      </c>
      <c r="G971" s="16" t="s">
        <v>4157</v>
      </c>
    </row>
    <row r="972" spans="1:7" x14ac:dyDescent="0.25">
      <c r="A972" s="9" t="s">
        <v>4137</v>
      </c>
      <c r="B972" s="10" t="s">
        <v>1920</v>
      </c>
      <c r="C972" s="31" t="s">
        <v>955</v>
      </c>
      <c r="D972" s="10" t="s">
        <v>1931</v>
      </c>
      <c r="E972" s="11" t="s">
        <v>2189</v>
      </c>
      <c r="F972" s="12" t="s">
        <v>4158</v>
      </c>
      <c r="G972" s="12" t="s">
        <v>4159</v>
      </c>
    </row>
    <row r="973" spans="1:7" x14ac:dyDescent="0.25">
      <c r="A973" s="13" t="s">
        <v>4137</v>
      </c>
      <c r="B973" s="14" t="s">
        <v>1920</v>
      </c>
      <c r="C973" s="32" t="s">
        <v>956</v>
      </c>
      <c r="D973" s="14" t="s">
        <v>1932</v>
      </c>
      <c r="E973" s="15" t="s">
        <v>2189</v>
      </c>
      <c r="F973" s="16" t="s">
        <v>4160</v>
      </c>
      <c r="G973" s="16" t="s">
        <v>4161</v>
      </c>
    </row>
    <row r="974" spans="1:7" x14ac:dyDescent="0.25">
      <c r="A974" s="9" t="s">
        <v>4137</v>
      </c>
      <c r="B974" s="10" t="s">
        <v>1920</v>
      </c>
      <c r="C974" s="31" t="s">
        <v>957</v>
      </c>
      <c r="D974" s="10" t="s">
        <v>1933</v>
      </c>
      <c r="E974" s="11" t="s">
        <v>2189</v>
      </c>
      <c r="F974" s="12" t="s">
        <v>4162</v>
      </c>
      <c r="G974" s="12" t="s">
        <v>4163</v>
      </c>
    </row>
    <row r="975" spans="1:7" x14ac:dyDescent="0.25">
      <c r="A975" s="13" t="s">
        <v>4137</v>
      </c>
      <c r="B975" s="14" t="s">
        <v>1920</v>
      </c>
      <c r="C975" s="32" t="s">
        <v>958</v>
      </c>
      <c r="D975" s="14" t="s">
        <v>1934</v>
      </c>
      <c r="E975" s="15" t="s">
        <v>2189</v>
      </c>
      <c r="F975" s="16" t="s">
        <v>4164</v>
      </c>
      <c r="G975" s="16" t="s">
        <v>4165</v>
      </c>
    </row>
    <row r="976" spans="1:7" x14ac:dyDescent="0.25">
      <c r="A976" s="9" t="s">
        <v>4137</v>
      </c>
      <c r="B976" s="10" t="s">
        <v>1920</v>
      </c>
      <c r="C976" s="31" t="s">
        <v>959</v>
      </c>
      <c r="D976" s="10" t="s">
        <v>1935</v>
      </c>
      <c r="E976" s="11" t="s">
        <v>2189</v>
      </c>
      <c r="F976" s="12" t="s">
        <v>4166</v>
      </c>
      <c r="G976" s="12" t="s">
        <v>4167</v>
      </c>
    </row>
    <row r="977" spans="1:7" x14ac:dyDescent="0.25">
      <c r="A977" s="13" t="s">
        <v>4137</v>
      </c>
      <c r="B977" s="14" t="s">
        <v>1920</v>
      </c>
      <c r="C977" s="32" t="s">
        <v>960</v>
      </c>
      <c r="D977" s="14" t="s">
        <v>1936</v>
      </c>
      <c r="E977" s="15" t="s">
        <v>2189</v>
      </c>
      <c r="F977" s="16" t="s">
        <v>4168</v>
      </c>
      <c r="G977" s="16" t="s">
        <v>4169</v>
      </c>
    </row>
    <row r="978" spans="1:7" x14ac:dyDescent="0.25">
      <c r="A978" s="9" t="s">
        <v>4137</v>
      </c>
      <c r="B978" s="10" t="s">
        <v>1920</v>
      </c>
      <c r="C978" s="31" t="s">
        <v>2087</v>
      </c>
      <c r="D978" s="10" t="s">
        <v>2159</v>
      </c>
      <c r="E978" s="11" t="s">
        <v>2189</v>
      </c>
      <c r="F978" s="12" t="s">
        <v>4170</v>
      </c>
      <c r="G978" s="12" t="s">
        <v>4171</v>
      </c>
    </row>
    <row r="979" spans="1:7" x14ac:dyDescent="0.25">
      <c r="A979" s="13" t="s">
        <v>4137</v>
      </c>
      <c r="B979" s="14" t="s">
        <v>1920</v>
      </c>
      <c r="C979" s="32" t="s">
        <v>961</v>
      </c>
      <c r="D979" s="14" t="s">
        <v>1937</v>
      </c>
      <c r="E979" s="15" t="s">
        <v>2189</v>
      </c>
      <c r="F979" s="16" t="s">
        <v>4172</v>
      </c>
      <c r="G979" s="16" t="s">
        <v>4173</v>
      </c>
    </row>
    <row r="980" spans="1:7" x14ac:dyDescent="0.25">
      <c r="A980" s="9" t="s">
        <v>4137</v>
      </c>
      <c r="B980" s="10" t="s">
        <v>1920</v>
      </c>
      <c r="C980" s="31" t="s">
        <v>962</v>
      </c>
      <c r="D980" s="10" t="s">
        <v>1938</v>
      </c>
      <c r="E980" s="11" t="s">
        <v>2189</v>
      </c>
      <c r="F980" s="12" t="s">
        <v>4174</v>
      </c>
      <c r="G980" s="12" t="s">
        <v>4175</v>
      </c>
    </row>
    <row r="981" spans="1:7" x14ac:dyDescent="0.25">
      <c r="A981" s="13" t="s">
        <v>4137</v>
      </c>
      <c r="B981" s="14" t="s">
        <v>1920</v>
      </c>
      <c r="C981" s="32" t="s">
        <v>963</v>
      </c>
      <c r="D981" s="14" t="s">
        <v>1939</v>
      </c>
      <c r="E981" s="15" t="s">
        <v>2189</v>
      </c>
      <c r="F981" s="16" t="s">
        <v>4176</v>
      </c>
      <c r="G981" s="16" t="s">
        <v>4177</v>
      </c>
    </row>
    <row r="982" spans="1:7" x14ac:dyDescent="0.25">
      <c r="A982" s="9" t="s">
        <v>4137</v>
      </c>
      <c r="B982" s="10" t="s">
        <v>1920</v>
      </c>
      <c r="C982" s="31" t="s">
        <v>964</v>
      </c>
      <c r="D982" s="10" t="s">
        <v>1940</v>
      </c>
      <c r="E982" s="11" t="s">
        <v>2189</v>
      </c>
      <c r="F982" s="12" t="s">
        <v>4178</v>
      </c>
      <c r="G982" s="12" t="s">
        <v>4179</v>
      </c>
    </row>
    <row r="983" spans="1:7" x14ac:dyDescent="0.25">
      <c r="A983" s="13" t="s">
        <v>4137</v>
      </c>
      <c r="B983" s="14" t="s">
        <v>1920</v>
      </c>
      <c r="C983" s="32" t="s">
        <v>965</v>
      </c>
      <c r="D983" s="14" t="s">
        <v>1941</v>
      </c>
      <c r="E983" s="15" t="s">
        <v>2189</v>
      </c>
      <c r="F983" s="16" t="s">
        <v>4180</v>
      </c>
      <c r="G983" s="16" t="s">
        <v>4181</v>
      </c>
    </row>
    <row r="984" spans="1:7" x14ac:dyDescent="0.25">
      <c r="A984" s="9" t="s">
        <v>4137</v>
      </c>
      <c r="B984" s="10" t="s">
        <v>1920</v>
      </c>
      <c r="C984" s="31" t="s">
        <v>966</v>
      </c>
      <c r="D984" s="10" t="s">
        <v>1942</v>
      </c>
      <c r="E984" s="11" t="s">
        <v>2189</v>
      </c>
      <c r="F984" s="12" t="s">
        <v>4182</v>
      </c>
      <c r="G984" s="12" t="s">
        <v>4183</v>
      </c>
    </row>
    <row r="985" spans="1:7" x14ac:dyDescent="0.25">
      <c r="A985" s="13" t="s">
        <v>4137</v>
      </c>
      <c r="B985" s="14" t="s">
        <v>1920</v>
      </c>
      <c r="C985" s="32" t="s">
        <v>967</v>
      </c>
      <c r="D985" s="14" t="s">
        <v>1943</v>
      </c>
      <c r="E985" s="15" t="s">
        <v>2189</v>
      </c>
      <c r="F985" s="16" t="s">
        <v>4184</v>
      </c>
      <c r="G985" s="16" t="s">
        <v>4185</v>
      </c>
    </row>
    <row r="986" spans="1:7" x14ac:dyDescent="0.25">
      <c r="A986" s="9" t="s">
        <v>4137</v>
      </c>
      <c r="B986" s="10" t="s">
        <v>1920</v>
      </c>
      <c r="C986" s="31" t="s">
        <v>968</v>
      </c>
      <c r="D986" s="10" t="s">
        <v>1944</v>
      </c>
      <c r="E986" s="11" t="s">
        <v>2189</v>
      </c>
      <c r="F986" s="12" t="s">
        <v>4186</v>
      </c>
      <c r="G986" s="12" t="s">
        <v>4187</v>
      </c>
    </row>
    <row r="987" spans="1:7" ht="48" x14ac:dyDescent="0.25">
      <c r="A987" s="13" t="s">
        <v>4137</v>
      </c>
      <c r="B987" s="14" t="s">
        <v>1920</v>
      </c>
      <c r="C987" s="32" t="s">
        <v>969</v>
      </c>
      <c r="D987" s="14" t="s">
        <v>1945</v>
      </c>
      <c r="E987" s="15" t="s">
        <v>2189</v>
      </c>
      <c r="F987" s="16" t="s">
        <v>4188</v>
      </c>
      <c r="G987" s="16" t="s">
        <v>4189</v>
      </c>
    </row>
    <row r="988" spans="1:7" x14ac:dyDescent="0.25">
      <c r="A988" s="9" t="s">
        <v>4137</v>
      </c>
      <c r="B988" s="10" t="s">
        <v>1920</v>
      </c>
      <c r="C988" s="31" t="s">
        <v>970</v>
      </c>
      <c r="D988" s="10" t="s">
        <v>1946</v>
      </c>
      <c r="E988" s="11" t="s">
        <v>2189</v>
      </c>
      <c r="F988" s="12" t="s">
        <v>4190</v>
      </c>
      <c r="G988" s="12" t="s">
        <v>4191</v>
      </c>
    </row>
    <row r="989" spans="1:7" x14ac:dyDescent="0.25">
      <c r="A989" s="13" t="s">
        <v>4137</v>
      </c>
      <c r="B989" s="14" t="s">
        <v>1920</v>
      </c>
      <c r="C989" s="32" t="s">
        <v>2089</v>
      </c>
      <c r="D989" s="14" t="s">
        <v>2160</v>
      </c>
      <c r="E989" s="15" t="s">
        <v>2189</v>
      </c>
      <c r="F989" s="16" t="s">
        <v>4192</v>
      </c>
      <c r="G989" s="16" t="s">
        <v>4193</v>
      </c>
    </row>
    <row r="990" spans="1:7" x14ac:dyDescent="0.25">
      <c r="A990" s="9" t="s">
        <v>4137</v>
      </c>
      <c r="B990" s="10" t="s">
        <v>1920</v>
      </c>
      <c r="C990" s="31" t="s">
        <v>971</v>
      </c>
      <c r="D990" s="10" t="s">
        <v>1947</v>
      </c>
      <c r="E990" s="11" t="s">
        <v>2189</v>
      </c>
      <c r="F990" s="12" t="s">
        <v>4194</v>
      </c>
      <c r="G990" s="12" t="s">
        <v>4195</v>
      </c>
    </row>
    <row r="991" spans="1:7" x14ac:dyDescent="0.25">
      <c r="A991" s="13" t="s">
        <v>4137</v>
      </c>
      <c r="B991" s="14" t="s">
        <v>1920</v>
      </c>
      <c r="C991" s="32" t="s">
        <v>972</v>
      </c>
      <c r="D991" s="14" t="s">
        <v>1948</v>
      </c>
      <c r="E991" s="15" t="s">
        <v>2189</v>
      </c>
      <c r="F991" s="16" t="s">
        <v>4196</v>
      </c>
      <c r="G991" s="16" t="s">
        <v>4197</v>
      </c>
    </row>
    <row r="992" spans="1:7" ht="24" x14ac:dyDescent="0.25">
      <c r="A992" s="9" t="s">
        <v>4137</v>
      </c>
      <c r="B992" s="10" t="s">
        <v>1920</v>
      </c>
      <c r="C992" s="31" t="s">
        <v>973</v>
      </c>
      <c r="D992" s="10" t="s">
        <v>1949</v>
      </c>
      <c r="E992" s="11" t="s">
        <v>2189</v>
      </c>
      <c r="F992" s="12" t="s">
        <v>4198</v>
      </c>
      <c r="G992" s="12" t="s">
        <v>4199</v>
      </c>
    </row>
    <row r="993" spans="1:7" x14ac:dyDescent="0.25">
      <c r="A993" s="13" t="s">
        <v>4137</v>
      </c>
      <c r="B993" s="14" t="s">
        <v>1920</v>
      </c>
      <c r="C993" s="32" t="s">
        <v>974</v>
      </c>
      <c r="D993" s="14" t="s">
        <v>1950</v>
      </c>
      <c r="E993" s="15" t="s">
        <v>2189</v>
      </c>
      <c r="F993" s="16" t="s">
        <v>4200</v>
      </c>
      <c r="G993" s="16" t="s">
        <v>4201</v>
      </c>
    </row>
    <row r="994" spans="1:7" x14ac:dyDescent="0.25">
      <c r="A994" s="9" t="s">
        <v>4137</v>
      </c>
      <c r="B994" s="10" t="s">
        <v>1920</v>
      </c>
      <c r="C994" s="31" t="s">
        <v>975</v>
      </c>
      <c r="D994" s="10" t="s">
        <v>1951</v>
      </c>
      <c r="E994" s="11" t="s">
        <v>2189</v>
      </c>
      <c r="F994" s="12" t="s">
        <v>4202</v>
      </c>
      <c r="G994" s="12" t="s">
        <v>4203</v>
      </c>
    </row>
    <row r="995" spans="1:7" x14ac:dyDescent="0.25">
      <c r="A995" s="13" t="s">
        <v>4137</v>
      </c>
      <c r="B995" s="14" t="s">
        <v>1920</v>
      </c>
      <c r="C995" s="32" t="s">
        <v>976</v>
      </c>
      <c r="D995" s="14" t="s">
        <v>1952</v>
      </c>
      <c r="E995" s="15" t="s">
        <v>2189</v>
      </c>
      <c r="F995" s="16" t="s">
        <v>4204</v>
      </c>
      <c r="G995" s="16" t="s">
        <v>4205</v>
      </c>
    </row>
    <row r="996" spans="1:7" ht="24" x14ac:dyDescent="0.25">
      <c r="A996" s="9" t="s">
        <v>4137</v>
      </c>
      <c r="B996" s="10" t="s">
        <v>1920</v>
      </c>
      <c r="C996" s="31" t="s">
        <v>977</v>
      </c>
      <c r="D996" s="10" t="s">
        <v>1953</v>
      </c>
      <c r="E996" s="11" t="s">
        <v>2189</v>
      </c>
      <c r="F996" s="12" t="s">
        <v>4206</v>
      </c>
      <c r="G996" s="12" t="s">
        <v>4207</v>
      </c>
    </row>
    <row r="997" spans="1:7" x14ac:dyDescent="0.25">
      <c r="A997" s="13" t="s">
        <v>4137</v>
      </c>
      <c r="B997" s="14" t="s">
        <v>1920</v>
      </c>
      <c r="C997" s="32" t="s">
        <v>978</v>
      </c>
      <c r="D997" s="14" t="s">
        <v>1954</v>
      </c>
      <c r="E997" s="15" t="s">
        <v>2189</v>
      </c>
      <c r="F997" s="16" t="s">
        <v>4208</v>
      </c>
      <c r="G997" s="16" t="s">
        <v>4209</v>
      </c>
    </row>
    <row r="998" spans="1:7" ht="24" x14ac:dyDescent="0.25">
      <c r="A998" s="9" t="s">
        <v>4137</v>
      </c>
      <c r="B998" s="10" t="s">
        <v>1920</v>
      </c>
      <c r="C998" s="31" t="s">
        <v>2086</v>
      </c>
      <c r="D998" s="10" t="s">
        <v>2158</v>
      </c>
      <c r="E998" s="11" t="s">
        <v>2189</v>
      </c>
      <c r="F998" s="12" t="s">
        <v>4210</v>
      </c>
      <c r="G998" s="12" t="s">
        <v>4211</v>
      </c>
    </row>
    <row r="999" spans="1:7" x14ac:dyDescent="0.25">
      <c r="A999" s="13" t="s">
        <v>4137</v>
      </c>
      <c r="B999" s="14" t="s">
        <v>1920</v>
      </c>
      <c r="C999" s="32" t="s">
        <v>979</v>
      </c>
      <c r="D999" s="14" t="s">
        <v>1955</v>
      </c>
      <c r="E999" s="15" t="s">
        <v>2189</v>
      </c>
      <c r="F999" s="16" t="s">
        <v>4212</v>
      </c>
      <c r="G999" s="16" t="s">
        <v>4213</v>
      </c>
    </row>
    <row r="1000" spans="1:7" x14ac:dyDescent="0.25">
      <c r="A1000" s="9" t="s">
        <v>4137</v>
      </c>
      <c r="B1000" s="10" t="s">
        <v>1920</v>
      </c>
      <c r="C1000" s="31" t="s">
        <v>980</v>
      </c>
      <c r="D1000" s="10" t="s">
        <v>1956</v>
      </c>
      <c r="E1000" s="11" t="s">
        <v>2189</v>
      </c>
      <c r="F1000" s="12" t="s">
        <v>4214</v>
      </c>
      <c r="G1000" s="12" t="s">
        <v>4215</v>
      </c>
    </row>
    <row r="1001" spans="1:7" ht="24" x14ac:dyDescent="0.25">
      <c r="A1001" s="13" t="s">
        <v>4137</v>
      </c>
      <c r="B1001" s="14" t="s">
        <v>1920</v>
      </c>
      <c r="C1001" s="32" t="s">
        <v>981</v>
      </c>
      <c r="D1001" s="14" t="s">
        <v>1957</v>
      </c>
      <c r="E1001" s="15" t="s">
        <v>2189</v>
      </c>
      <c r="F1001" s="16" t="s">
        <v>4216</v>
      </c>
      <c r="G1001" s="16" t="s">
        <v>4217</v>
      </c>
    </row>
    <row r="1002" spans="1:7" x14ac:dyDescent="0.25">
      <c r="A1002" s="9" t="s">
        <v>4137</v>
      </c>
      <c r="B1002" s="10" t="s">
        <v>1920</v>
      </c>
      <c r="C1002" s="31" t="s">
        <v>982</v>
      </c>
      <c r="D1002" s="10" t="s">
        <v>1134</v>
      </c>
      <c r="E1002" s="11" t="s">
        <v>2189</v>
      </c>
      <c r="F1002" s="12" t="s">
        <v>4218</v>
      </c>
      <c r="G1002" s="12" t="s">
        <v>4219</v>
      </c>
    </row>
    <row r="1003" spans="1:7" ht="24" x14ac:dyDescent="0.25">
      <c r="A1003" s="13" t="s">
        <v>4137</v>
      </c>
      <c r="B1003" s="14" t="s">
        <v>1920</v>
      </c>
      <c r="C1003" s="32" t="s">
        <v>2116</v>
      </c>
      <c r="D1003" s="14" t="s">
        <v>2185</v>
      </c>
      <c r="E1003" s="15" t="s">
        <v>2189</v>
      </c>
      <c r="F1003" s="16" t="s">
        <v>4220</v>
      </c>
      <c r="G1003" s="16" t="s">
        <v>4221</v>
      </c>
    </row>
    <row r="1004" spans="1:7" x14ac:dyDescent="0.25">
      <c r="A1004" s="9" t="s">
        <v>4137</v>
      </c>
      <c r="B1004" s="10" t="s">
        <v>1920</v>
      </c>
      <c r="C1004" s="31" t="s">
        <v>983</v>
      </c>
      <c r="D1004" s="10" t="s">
        <v>1421</v>
      </c>
      <c r="E1004" s="11" t="s">
        <v>2189</v>
      </c>
      <c r="F1004" s="12" t="s">
        <v>4222</v>
      </c>
      <c r="G1004" s="12" t="s">
        <v>4223</v>
      </c>
    </row>
    <row r="1005" spans="1:7" ht="24" x14ac:dyDescent="0.25">
      <c r="A1005" s="13" t="s">
        <v>4137</v>
      </c>
      <c r="B1005" s="14" t="s">
        <v>1920</v>
      </c>
      <c r="C1005" s="32" t="s">
        <v>984</v>
      </c>
      <c r="D1005" s="14" t="s">
        <v>1958</v>
      </c>
      <c r="E1005" s="15" t="s">
        <v>2189</v>
      </c>
      <c r="F1005" s="16" t="s">
        <v>4224</v>
      </c>
      <c r="G1005" s="16" t="s">
        <v>4225</v>
      </c>
    </row>
    <row r="1006" spans="1:7" x14ac:dyDescent="0.25">
      <c r="A1006" s="9" t="s">
        <v>4137</v>
      </c>
      <c r="B1006" s="10" t="s">
        <v>1920</v>
      </c>
      <c r="C1006" s="31" t="s">
        <v>985</v>
      </c>
      <c r="D1006" s="10" t="s">
        <v>1959</v>
      </c>
      <c r="E1006" s="11" t="s">
        <v>2189</v>
      </c>
      <c r="F1006" s="12" t="s">
        <v>4226</v>
      </c>
      <c r="G1006" s="12" t="s">
        <v>4227</v>
      </c>
    </row>
    <row r="1007" spans="1:7" ht="24" x14ac:dyDescent="0.25">
      <c r="A1007" s="13" t="s">
        <v>4137</v>
      </c>
      <c r="B1007" s="14" t="s">
        <v>1920</v>
      </c>
      <c r="C1007" s="32" t="s">
        <v>986</v>
      </c>
      <c r="D1007" s="14" t="s">
        <v>1960</v>
      </c>
      <c r="E1007" s="15" t="s">
        <v>2189</v>
      </c>
      <c r="F1007" s="16" t="s">
        <v>4228</v>
      </c>
      <c r="G1007" s="16" t="s">
        <v>4229</v>
      </c>
    </row>
    <row r="1008" spans="1:7" x14ac:dyDescent="0.25">
      <c r="A1008" s="9" t="s">
        <v>4137</v>
      </c>
      <c r="B1008" s="10" t="s">
        <v>1920</v>
      </c>
      <c r="C1008" s="31" t="s">
        <v>987</v>
      </c>
      <c r="D1008" s="10" t="s">
        <v>1961</v>
      </c>
      <c r="E1008" s="11" t="s">
        <v>2189</v>
      </c>
      <c r="F1008" s="12" t="s">
        <v>4230</v>
      </c>
      <c r="G1008" s="12" t="s">
        <v>4231</v>
      </c>
    </row>
    <row r="1009" spans="1:7" ht="24" x14ac:dyDescent="0.25">
      <c r="A1009" s="13" t="s">
        <v>4232</v>
      </c>
      <c r="B1009" s="14" t="s">
        <v>1962</v>
      </c>
      <c r="C1009" s="32" t="s">
        <v>988</v>
      </c>
      <c r="D1009" s="14" t="s">
        <v>2037</v>
      </c>
      <c r="E1009" s="15" t="s">
        <v>2189</v>
      </c>
      <c r="F1009" s="16" t="s">
        <v>4233</v>
      </c>
      <c r="G1009" s="16" t="s">
        <v>4234</v>
      </c>
    </row>
    <row r="1010" spans="1:7" ht="24" x14ac:dyDescent="0.25">
      <c r="A1010" s="9" t="s">
        <v>4232</v>
      </c>
      <c r="B1010" s="10" t="s">
        <v>1962</v>
      </c>
      <c r="C1010" s="31" t="s">
        <v>989</v>
      </c>
      <c r="D1010" s="10" t="s">
        <v>1963</v>
      </c>
      <c r="E1010" s="11" t="s">
        <v>2189</v>
      </c>
      <c r="F1010" s="12" t="s">
        <v>4235</v>
      </c>
      <c r="G1010" s="12" t="s">
        <v>4236</v>
      </c>
    </row>
    <row r="1011" spans="1:7" ht="24" x14ac:dyDescent="0.25">
      <c r="A1011" s="13" t="s">
        <v>4232</v>
      </c>
      <c r="B1011" s="14" t="s">
        <v>1962</v>
      </c>
      <c r="C1011" s="32" t="s">
        <v>990</v>
      </c>
      <c r="D1011" s="14" t="s">
        <v>1964</v>
      </c>
      <c r="E1011" s="15" t="s">
        <v>2189</v>
      </c>
      <c r="F1011" s="16" t="s">
        <v>4237</v>
      </c>
      <c r="G1011" s="16" t="s">
        <v>4238</v>
      </c>
    </row>
    <row r="1012" spans="1:7" ht="24" x14ac:dyDescent="0.25">
      <c r="A1012" s="9" t="s">
        <v>4232</v>
      </c>
      <c r="B1012" s="10" t="s">
        <v>1962</v>
      </c>
      <c r="C1012" s="31" t="s">
        <v>991</v>
      </c>
      <c r="D1012" s="10" t="s">
        <v>1965</v>
      </c>
      <c r="E1012" s="11" t="s">
        <v>2189</v>
      </c>
      <c r="F1012" s="12" t="s">
        <v>4239</v>
      </c>
      <c r="G1012" s="12" t="s">
        <v>4240</v>
      </c>
    </row>
    <row r="1013" spans="1:7" ht="24" x14ac:dyDescent="0.25">
      <c r="A1013" s="13" t="s">
        <v>4232</v>
      </c>
      <c r="B1013" s="14" t="s">
        <v>1962</v>
      </c>
      <c r="C1013" s="32" t="s">
        <v>992</v>
      </c>
      <c r="D1013" s="14" t="s">
        <v>1058</v>
      </c>
      <c r="E1013" s="15" t="s">
        <v>2189</v>
      </c>
      <c r="F1013" s="16" t="s">
        <v>4241</v>
      </c>
      <c r="G1013" s="16" t="s">
        <v>4242</v>
      </c>
    </row>
    <row r="1014" spans="1:7" ht="24" x14ac:dyDescent="0.25">
      <c r="A1014" s="9" t="s">
        <v>4232</v>
      </c>
      <c r="B1014" s="10" t="s">
        <v>1962</v>
      </c>
      <c r="C1014" s="31" t="s">
        <v>993</v>
      </c>
      <c r="D1014" s="10" t="s">
        <v>1194</v>
      </c>
      <c r="E1014" s="11" t="s">
        <v>2189</v>
      </c>
      <c r="F1014" s="12" t="s">
        <v>4243</v>
      </c>
      <c r="G1014" s="12" t="s">
        <v>4244</v>
      </c>
    </row>
    <row r="1015" spans="1:7" ht="24" x14ac:dyDescent="0.25">
      <c r="A1015" s="13" t="s">
        <v>4232</v>
      </c>
      <c r="B1015" s="14" t="s">
        <v>1962</v>
      </c>
      <c r="C1015" s="32" t="s">
        <v>305</v>
      </c>
      <c r="D1015" s="14" t="s">
        <v>1336</v>
      </c>
      <c r="E1015" s="15" t="s">
        <v>2189</v>
      </c>
      <c r="F1015" s="16" t="s">
        <v>4245</v>
      </c>
      <c r="G1015" s="16" t="s">
        <v>4246</v>
      </c>
    </row>
    <row r="1016" spans="1:7" ht="24" x14ac:dyDescent="0.25">
      <c r="A1016" s="9" t="s">
        <v>4232</v>
      </c>
      <c r="B1016" s="10" t="s">
        <v>1962</v>
      </c>
      <c r="C1016" s="31" t="s">
        <v>994</v>
      </c>
      <c r="D1016" s="10" t="s">
        <v>1966</v>
      </c>
      <c r="E1016" s="11" t="s">
        <v>2189</v>
      </c>
      <c r="F1016" s="12" t="s">
        <v>4247</v>
      </c>
      <c r="G1016" s="12" t="s">
        <v>4248</v>
      </c>
    </row>
    <row r="1017" spans="1:7" ht="24" x14ac:dyDescent="0.25">
      <c r="A1017" s="13" t="s">
        <v>4232</v>
      </c>
      <c r="B1017" s="14" t="s">
        <v>1962</v>
      </c>
      <c r="C1017" s="32" t="s">
        <v>995</v>
      </c>
      <c r="D1017" s="14" t="s">
        <v>1967</v>
      </c>
      <c r="E1017" s="15" t="s">
        <v>2189</v>
      </c>
      <c r="F1017" s="16" t="s">
        <v>4249</v>
      </c>
      <c r="G1017" s="16" t="s">
        <v>4250</v>
      </c>
    </row>
    <row r="1018" spans="1:7" ht="24" x14ac:dyDescent="0.25">
      <c r="A1018" s="9" t="s">
        <v>4232</v>
      </c>
      <c r="B1018" s="10" t="s">
        <v>1962</v>
      </c>
      <c r="C1018" s="31" t="s">
        <v>996</v>
      </c>
      <c r="D1018" s="10" t="s">
        <v>1968</v>
      </c>
      <c r="E1018" s="11" t="s">
        <v>2189</v>
      </c>
      <c r="F1018" s="12" t="s">
        <v>4251</v>
      </c>
      <c r="G1018" s="12" t="s">
        <v>4252</v>
      </c>
    </row>
    <row r="1019" spans="1:7" ht="24" x14ac:dyDescent="0.25">
      <c r="A1019" s="13" t="s">
        <v>4232</v>
      </c>
      <c r="B1019" s="14" t="s">
        <v>1962</v>
      </c>
      <c r="C1019" s="32" t="s">
        <v>997</v>
      </c>
      <c r="D1019" s="14" t="s">
        <v>1969</v>
      </c>
      <c r="E1019" s="15" t="s">
        <v>2189</v>
      </c>
      <c r="F1019" s="16" t="s">
        <v>4253</v>
      </c>
      <c r="G1019" s="16" t="s">
        <v>4254</v>
      </c>
    </row>
    <row r="1020" spans="1:7" ht="24" x14ac:dyDescent="0.25">
      <c r="A1020" s="9" t="s">
        <v>4232</v>
      </c>
      <c r="B1020" s="10" t="s">
        <v>1962</v>
      </c>
      <c r="C1020" s="31" t="s">
        <v>998</v>
      </c>
      <c r="D1020" s="10" t="s">
        <v>1174</v>
      </c>
      <c r="E1020" s="11" t="s">
        <v>2189</v>
      </c>
      <c r="F1020" s="12" t="s">
        <v>4255</v>
      </c>
      <c r="G1020" s="12" t="s">
        <v>4256</v>
      </c>
    </row>
    <row r="1021" spans="1:7" ht="24" x14ac:dyDescent="0.25">
      <c r="A1021" s="13" t="s">
        <v>4232</v>
      </c>
      <c r="B1021" s="14" t="s">
        <v>1962</v>
      </c>
      <c r="C1021" s="32" t="s">
        <v>999</v>
      </c>
      <c r="D1021" s="14" t="s">
        <v>1970</v>
      </c>
      <c r="E1021" s="15" t="s">
        <v>2189</v>
      </c>
      <c r="F1021" s="16" t="s">
        <v>4257</v>
      </c>
      <c r="G1021" s="16" t="s">
        <v>4258</v>
      </c>
    </row>
    <row r="1022" spans="1:7" ht="24" x14ac:dyDescent="0.25">
      <c r="A1022" s="9" t="s">
        <v>4232</v>
      </c>
      <c r="B1022" s="10" t="s">
        <v>1962</v>
      </c>
      <c r="C1022" s="31" t="s">
        <v>1000</v>
      </c>
      <c r="D1022" s="10" t="s">
        <v>1971</v>
      </c>
      <c r="E1022" s="11" t="s">
        <v>2189</v>
      </c>
      <c r="F1022" s="12" t="s">
        <v>4259</v>
      </c>
      <c r="G1022" s="12" t="s">
        <v>4260</v>
      </c>
    </row>
    <row r="1023" spans="1:7" ht="24" x14ac:dyDescent="0.25">
      <c r="A1023" s="13" t="s">
        <v>4232</v>
      </c>
      <c r="B1023" s="14" t="s">
        <v>1962</v>
      </c>
      <c r="C1023" s="32" t="s">
        <v>1001</v>
      </c>
      <c r="D1023" s="14" t="s">
        <v>1972</v>
      </c>
      <c r="E1023" s="15" t="s">
        <v>2189</v>
      </c>
      <c r="F1023" s="16" t="s">
        <v>4261</v>
      </c>
      <c r="G1023" s="16" t="s">
        <v>4262</v>
      </c>
    </row>
    <row r="1024" spans="1:7" ht="24" x14ac:dyDescent="0.25">
      <c r="A1024" s="9" t="s">
        <v>4232</v>
      </c>
      <c r="B1024" s="10" t="s">
        <v>1962</v>
      </c>
      <c r="C1024" s="31" t="s">
        <v>1002</v>
      </c>
      <c r="D1024" s="10" t="s">
        <v>1973</v>
      </c>
      <c r="E1024" s="11" t="s">
        <v>2189</v>
      </c>
      <c r="F1024" s="12" t="s">
        <v>4263</v>
      </c>
      <c r="G1024" s="12" t="s">
        <v>4264</v>
      </c>
    </row>
    <row r="1025" spans="1:7" ht="24" x14ac:dyDescent="0.25">
      <c r="A1025" s="13" t="s">
        <v>4232</v>
      </c>
      <c r="B1025" s="14" t="s">
        <v>1962</v>
      </c>
      <c r="C1025" s="32" t="s">
        <v>1003</v>
      </c>
      <c r="D1025" s="14" t="s">
        <v>1974</v>
      </c>
      <c r="E1025" s="15" t="s">
        <v>2189</v>
      </c>
      <c r="F1025" s="16" t="s">
        <v>4265</v>
      </c>
      <c r="G1025" s="16" t="s">
        <v>4266</v>
      </c>
    </row>
    <row r="1026" spans="1:7" ht="24" x14ac:dyDescent="0.25">
      <c r="A1026" s="9" t="s">
        <v>4232</v>
      </c>
      <c r="B1026" s="10" t="s">
        <v>1962</v>
      </c>
      <c r="C1026" s="31" t="s">
        <v>1004</v>
      </c>
      <c r="D1026" s="10" t="s">
        <v>1975</v>
      </c>
      <c r="E1026" s="11" t="s">
        <v>2189</v>
      </c>
      <c r="F1026" s="12" t="s">
        <v>4267</v>
      </c>
      <c r="G1026" s="12" t="s">
        <v>4268</v>
      </c>
    </row>
    <row r="1027" spans="1:7" ht="24" x14ac:dyDescent="0.25">
      <c r="A1027" s="13" t="s">
        <v>4232</v>
      </c>
      <c r="B1027" s="14" t="s">
        <v>1962</v>
      </c>
      <c r="C1027" s="32" t="s">
        <v>1005</v>
      </c>
      <c r="D1027" s="14" t="s">
        <v>1976</v>
      </c>
      <c r="E1027" s="15" t="s">
        <v>2189</v>
      </c>
      <c r="F1027" s="16" t="s">
        <v>4269</v>
      </c>
      <c r="G1027" s="16" t="s">
        <v>4270</v>
      </c>
    </row>
    <row r="1028" spans="1:7" ht="24" x14ac:dyDescent="0.25">
      <c r="A1028" s="9" t="s">
        <v>4232</v>
      </c>
      <c r="B1028" s="10" t="s">
        <v>1962</v>
      </c>
      <c r="C1028" s="31" t="s">
        <v>1006</v>
      </c>
      <c r="D1028" s="10" t="s">
        <v>1977</v>
      </c>
      <c r="E1028" s="11" t="s">
        <v>2189</v>
      </c>
      <c r="F1028" s="12" t="s">
        <v>4271</v>
      </c>
      <c r="G1028" s="12" t="s">
        <v>4272</v>
      </c>
    </row>
    <row r="1029" spans="1:7" ht="24" x14ac:dyDescent="0.25">
      <c r="A1029" s="13" t="s">
        <v>4232</v>
      </c>
      <c r="B1029" s="14" t="s">
        <v>1962</v>
      </c>
      <c r="C1029" s="32" t="s">
        <v>1007</v>
      </c>
      <c r="D1029" s="14" t="s">
        <v>1978</v>
      </c>
      <c r="E1029" s="15" t="s">
        <v>2189</v>
      </c>
      <c r="F1029" s="16" t="s">
        <v>4273</v>
      </c>
      <c r="G1029" s="16" t="s">
        <v>4274</v>
      </c>
    </row>
    <row r="1030" spans="1:7" ht="24" x14ac:dyDescent="0.25">
      <c r="A1030" s="9" t="s">
        <v>4232</v>
      </c>
      <c r="B1030" s="10" t="s">
        <v>1962</v>
      </c>
      <c r="C1030" s="31" t="s">
        <v>1008</v>
      </c>
      <c r="D1030" s="10" t="s">
        <v>1979</v>
      </c>
      <c r="E1030" s="11" t="s">
        <v>2189</v>
      </c>
      <c r="F1030" s="12" t="s">
        <v>4275</v>
      </c>
      <c r="G1030" s="12" t="s">
        <v>4276</v>
      </c>
    </row>
    <row r="1031" spans="1:7" ht="24" x14ac:dyDescent="0.25">
      <c r="A1031" s="13" t="s">
        <v>4232</v>
      </c>
      <c r="B1031" s="14" t="s">
        <v>1962</v>
      </c>
      <c r="C1031" s="32" t="s">
        <v>1009</v>
      </c>
      <c r="D1031" s="14" t="s">
        <v>1980</v>
      </c>
      <c r="E1031" s="15" t="s">
        <v>2189</v>
      </c>
      <c r="F1031" s="16" t="s">
        <v>4277</v>
      </c>
      <c r="G1031" s="16" t="s">
        <v>4278</v>
      </c>
    </row>
    <row r="1032" spans="1:7" ht="24" x14ac:dyDescent="0.25">
      <c r="A1032" s="9" t="s">
        <v>4232</v>
      </c>
      <c r="B1032" s="10" t="s">
        <v>1962</v>
      </c>
      <c r="C1032" s="31" t="s">
        <v>1010</v>
      </c>
      <c r="D1032" s="10" t="s">
        <v>1108</v>
      </c>
      <c r="E1032" s="11" t="s">
        <v>2189</v>
      </c>
      <c r="F1032" s="12" t="s">
        <v>4279</v>
      </c>
      <c r="G1032" s="12" t="s">
        <v>4280</v>
      </c>
    </row>
    <row r="1033" spans="1:7" ht="24" x14ac:dyDescent="0.25">
      <c r="A1033" s="13" t="s">
        <v>4232</v>
      </c>
      <c r="B1033" s="14" t="s">
        <v>1962</v>
      </c>
      <c r="C1033" s="32" t="s">
        <v>1011</v>
      </c>
      <c r="D1033" s="14" t="s">
        <v>1981</v>
      </c>
      <c r="E1033" s="15" t="s">
        <v>2189</v>
      </c>
      <c r="F1033" s="16" t="s">
        <v>4281</v>
      </c>
      <c r="G1033" s="16" t="s">
        <v>4282</v>
      </c>
    </row>
    <row r="1034" spans="1:7" ht="24" x14ac:dyDescent="0.25">
      <c r="A1034" s="9" t="s">
        <v>4232</v>
      </c>
      <c r="B1034" s="10" t="s">
        <v>1962</v>
      </c>
      <c r="C1034" s="31" t="s">
        <v>1012</v>
      </c>
      <c r="D1034" s="10" t="s">
        <v>1982</v>
      </c>
      <c r="E1034" s="11" t="s">
        <v>2189</v>
      </c>
      <c r="F1034" s="12" t="s">
        <v>4283</v>
      </c>
      <c r="G1034" s="12" t="s">
        <v>4284</v>
      </c>
    </row>
    <row r="1035" spans="1:7" ht="24" x14ac:dyDescent="0.25">
      <c r="A1035" s="13" t="s">
        <v>4232</v>
      </c>
      <c r="B1035" s="14" t="s">
        <v>1962</v>
      </c>
      <c r="C1035" s="32" t="s">
        <v>1013</v>
      </c>
      <c r="D1035" s="14" t="s">
        <v>1983</v>
      </c>
      <c r="E1035" s="15" t="s">
        <v>2189</v>
      </c>
      <c r="F1035" s="16" t="s">
        <v>4285</v>
      </c>
      <c r="G1035" s="16" t="s">
        <v>4286</v>
      </c>
    </row>
    <row r="1036" spans="1:7" ht="24" x14ac:dyDescent="0.25">
      <c r="A1036" s="9" t="s">
        <v>4232</v>
      </c>
      <c r="B1036" s="10" t="s">
        <v>1962</v>
      </c>
      <c r="C1036" s="31" t="s">
        <v>1014</v>
      </c>
      <c r="D1036" s="10" t="s">
        <v>1984</v>
      </c>
      <c r="E1036" s="11" t="s">
        <v>2189</v>
      </c>
      <c r="F1036" s="12" t="s">
        <v>4287</v>
      </c>
      <c r="G1036" s="12" t="s">
        <v>4288</v>
      </c>
    </row>
    <row r="1037" spans="1:7" ht="24" x14ac:dyDescent="0.25">
      <c r="A1037" s="13" t="s">
        <v>4232</v>
      </c>
      <c r="B1037" s="14" t="s">
        <v>1962</v>
      </c>
      <c r="C1037" s="32" t="s">
        <v>1015</v>
      </c>
      <c r="D1037" s="14" t="s">
        <v>1709</v>
      </c>
      <c r="E1037" s="15" t="s">
        <v>2189</v>
      </c>
      <c r="F1037" s="16" t="s">
        <v>4289</v>
      </c>
      <c r="G1037" s="16" t="s">
        <v>4290</v>
      </c>
    </row>
    <row r="1038" spans="1:7" ht="24" x14ac:dyDescent="0.25">
      <c r="A1038" s="9" t="s">
        <v>4232</v>
      </c>
      <c r="B1038" s="10" t="s">
        <v>1962</v>
      </c>
      <c r="C1038" s="31" t="s">
        <v>1016</v>
      </c>
      <c r="D1038" s="10" t="s">
        <v>1985</v>
      </c>
      <c r="E1038" s="11" t="s">
        <v>2189</v>
      </c>
      <c r="F1038" s="12" t="s">
        <v>4291</v>
      </c>
      <c r="G1038" s="12" t="s">
        <v>4292</v>
      </c>
    </row>
    <row r="1039" spans="1:7" ht="24" x14ac:dyDescent="0.25">
      <c r="A1039" s="13" t="s">
        <v>4232</v>
      </c>
      <c r="B1039" s="14" t="s">
        <v>1962</v>
      </c>
      <c r="C1039" s="32" t="s">
        <v>1017</v>
      </c>
      <c r="D1039" s="14" t="s">
        <v>1986</v>
      </c>
      <c r="E1039" s="15" t="s">
        <v>2189</v>
      </c>
      <c r="F1039" s="16" t="s">
        <v>4293</v>
      </c>
      <c r="G1039" s="16" t="s">
        <v>4294</v>
      </c>
    </row>
    <row r="1040" spans="1:7" ht="24" x14ac:dyDescent="0.25">
      <c r="A1040" s="9" t="s">
        <v>4232</v>
      </c>
      <c r="B1040" s="10" t="s">
        <v>1962</v>
      </c>
      <c r="C1040" s="31" t="s">
        <v>1018</v>
      </c>
      <c r="D1040" s="10" t="s">
        <v>1917</v>
      </c>
      <c r="E1040" s="11" t="s">
        <v>2189</v>
      </c>
      <c r="F1040" s="12" t="s">
        <v>4295</v>
      </c>
      <c r="G1040" s="12" t="s">
        <v>4296</v>
      </c>
    </row>
    <row r="1041" spans="1:7" ht="24" x14ac:dyDescent="0.25">
      <c r="A1041" s="13" t="s">
        <v>4232</v>
      </c>
      <c r="B1041" s="14" t="s">
        <v>1962</v>
      </c>
      <c r="C1041" s="32" t="s">
        <v>1019</v>
      </c>
      <c r="D1041" s="14" t="s">
        <v>1987</v>
      </c>
      <c r="E1041" s="15" t="s">
        <v>2189</v>
      </c>
      <c r="F1041" s="16" t="s">
        <v>4297</v>
      </c>
      <c r="G1041" s="16" t="s">
        <v>4298</v>
      </c>
    </row>
    <row r="1042" spans="1:7" ht="24" x14ac:dyDescent="0.25">
      <c r="A1042" s="9" t="s">
        <v>4232</v>
      </c>
      <c r="B1042" s="10" t="s">
        <v>1962</v>
      </c>
      <c r="C1042" s="31" t="s">
        <v>1020</v>
      </c>
      <c r="D1042" s="10" t="s">
        <v>1988</v>
      </c>
      <c r="E1042" s="11" t="s">
        <v>2189</v>
      </c>
      <c r="F1042" s="12" t="s">
        <v>4299</v>
      </c>
      <c r="G1042" s="12" t="s">
        <v>4300</v>
      </c>
    </row>
    <row r="1043" spans="1:7" ht="24" x14ac:dyDescent="0.25">
      <c r="A1043" s="13" t="s">
        <v>4232</v>
      </c>
      <c r="B1043" s="14" t="s">
        <v>1962</v>
      </c>
      <c r="C1043" s="32" t="s">
        <v>1021</v>
      </c>
      <c r="D1043" s="14" t="s">
        <v>1989</v>
      </c>
      <c r="E1043" s="15" t="s">
        <v>2189</v>
      </c>
      <c r="F1043" s="16" t="s">
        <v>4301</v>
      </c>
      <c r="G1043" s="16" t="s">
        <v>4302</v>
      </c>
    </row>
    <row r="1044" spans="1:7" ht="24" x14ac:dyDescent="0.25">
      <c r="A1044" s="9" t="s">
        <v>4232</v>
      </c>
      <c r="B1044" s="10" t="s">
        <v>1962</v>
      </c>
      <c r="C1044" s="31" t="s">
        <v>2021</v>
      </c>
      <c r="D1044" s="10" t="s">
        <v>1990</v>
      </c>
      <c r="E1044" s="11" t="s">
        <v>2189</v>
      </c>
      <c r="F1044" s="12" t="s">
        <v>4303</v>
      </c>
      <c r="G1044" s="12" t="s">
        <v>4304</v>
      </c>
    </row>
    <row r="1045" spans="1:7" ht="24" x14ac:dyDescent="0.25">
      <c r="A1045" s="13" t="s">
        <v>4232</v>
      </c>
      <c r="B1045" s="14" t="s">
        <v>1962</v>
      </c>
      <c r="C1045" s="32" t="s">
        <v>1022</v>
      </c>
      <c r="D1045" s="14" t="s">
        <v>1991</v>
      </c>
      <c r="E1045" s="15" t="s">
        <v>2189</v>
      </c>
      <c r="F1045" s="16" t="s">
        <v>4305</v>
      </c>
      <c r="G1045" s="16" t="s">
        <v>4306</v>
      </c>
    </row>
    <row r="1046" spans="1:7" ht="24" x14ac:dyDescent="0.25">
      <c r="A1046" s="9" t="s">
        <v>4232</v>
      </c>
      <c r="B1046" s="10" t="s">
        <v>1962</v>
      </c>
      <c r="C1046" s="31" t="s">
        <v>1023</v>
      </c>
      <c r="D1046" s="10" t="s">
        <v>1992</v>
      </c>
      <c r="E1046" s="11" t="s">
        <v>2189</v>
      </c>
      <c r="F1046" s="12" t="s">
        <v>4307</v>
      </c>
      <c r="G1046" s="12" t="s">
        <v>4308</v>
      </c>
    </row>
    <row r="1047" spans="1:7" ht="24" x14ac:dyDescent="0.25">
      <c r="A1047" s="13" t="s">
        <v>4232</v>
      </c>
      <c r="B1047" s="14" t="s">
        <v>1962</v>
      </c>
      <c r="C1047" s="32" t="s">
        <v>1024</v>
      </c>
      <c r="D1047" s="14" t="s">
        <v>1993</v>
      </c>
      <c r="E1047" s="15" t="s">
        <v>2189</v>
      </c>
      <c r="F1047" s="16" t="s">
        <v>4309</v>
      </c>
      <c r="G1047" s="16" t="s">
        <v>4310</v>
      </c>
    </row>
    <row r="1048" spans="1:7" ht="24" x14ac:dyDescent="0.25">
      <c r="A1048" s="9" t="s">
        <v>4232</v>
      </c>
      <c r="B1048" s="10" t="s">
        <v>1962</v>
      </c>
      <c r="C1048" s="31" t="s">
        <v>1025</v>
      </c>
      <c r="D1048" s="10" t="s">
        <v>1994</v>
      </c>
      <c r="E1048" s="11" t="s">
        <v>2189</v>
      </c>
      <c r="F1048" s="12" t="s">
        <v>4311</v>
      </c>
      <c r="G1048" s="12" t="s">
        <v>4312</v>
      </c>
    </row>
    <row r="1049" spans="1:7" ht="24" x14ac:dyDescent="0.25">
      <c r="A1049" s="13" t="s">
        <v>4232</v>
      </c>
      <c r="B1049" s="14" t="s">
        <v>1962</v>
      </c>
      <c r="C1049" s="32" t="s">
        <v>1026</v>
      </c>
      <c r="D1049" s="14" t="s">
        <v>1995</v>
      </c>
      <c r="E1049" s="15" t="s">
        <v>2189</v>
      </c>
      <c r="F1049" s="16" t="s">
        <v>4313</v>
      </c>
      <c r="G1049" s="16" t="s">
        <v>4314</v>
      </c>
    </row>
    <row r="1050" spans="1:7" ht="24" x14ac:dyDescent="0.25">
      <c r="A1050" s="9" t="s">
        <v>4232</v>
      </c>
      <c r="B1050" s="10" t="s">
        <v>1962</v>
      </c>
      <c r="C1050" s="31" t="s">
        <v>1027</v>
      </c>
      <c r="D1050" s="10" t="s">
        <v>1996</v>
      </c>
      <c r="E1050" s="11" t="s">
        <v>2189</v>
      </c>
      <c r="F1050" s="12" t="s">
        <v>4315</v>
      </c>
      <c r="G1050" s="12" t="s">
        <v>4316</v>
      </c>
    </row>
    <row r="1051" spans="1:7" x14ac:dyDescent="0.25">
      <c r="A1051" s="13" t="s">
        <v>4317</v>
      </c>
      <c r="B1051" s="14" t="s">
        <v>1164</v>
      </c>
      <c r="C1051" s="32" t="s">
        <v>129</v>
      </c>
      <c r="D1051" s="14" t="s">
        <v>1164</v>
      </c>
      <c r="E1051" s="15" t="s">
        <v>2189</v>
      </c>
      <c r="F1051" s="16" t="s">
        <v>4318</v>
      </c>
      <c r="G1051" s="16" t="s">
        <v>4319</v>
      </c>
    </row>
    <row r="1052" spans="1:7" x14ac:dyDescent="0.25">
      <c r="A1052" s="9" t="s">
        <v>4317</v>
      </c>
      <c r="B1052" s="10" t="s">
        <v>1164</v>
      </c>
      <c r="C1052" s="31" t="s">
        <v>130</v>
      </c>
      <c r="D1052" s="10" t="s">
        <v>1165</v>
      </c>
      <c r="E1052" s="11" t="s">
        <v>2189</v>
      </c>
      <c r="F1052" s="12" t="s">
        <v>4320</v>
      </c>
      <c r="G1052" s="12" t="s">
        <v>4321</v>
      </c>
    </row>
    <row r="1053" spans="1:7" ht="24" x14ac:dyDescent="0.25">
      <c r="A1053" s="13" t="s">
        <v>4317</v>
      </c>
      <c r="B1053" s="14" t="s">
        <v>1164</v>
      </c>
      <c r="C1053" s="32" t="s">
        <v>2077</v>
      </c>
      <c r="D1053" s="14" t="s">
        <v>2151</v>
      </c>
      <c r="E1053" s="15" t="s">
        <v>2189</v>
      </c>
      <c r="F1053" s="16" t="s">
        <v>4322</v>
      </c>
      <c r="G1053" s="16" t="s">
        <v>4323</v>
      </c>
    </row>
    <row r="1054" spans="1:7" x14ac:dyDescent="0.25">
      <c r="A1054" s="9" t="s">
        <v>4317</v>
      </c>
      <c r="B1054" s="10" t="s">
        <v>1164</v>
      </c>
      <c r="C1054" s="31" t="s">
        <v>131</v>
      </c>
      <c r="D1054" s="10" t="s">
        <v>1166</v>
      </c>
      <c r="E1054" s="11" t="s">
        <v>2189</v>
      </c>
      <c r="F1054" s="12" t="s">
        <v>4324</v>
      </c>
      <c r="G1054" s="12" t="s">
        <v>4325</v>
      </c>
    </row>
    <row r="1055" spans="1:7" ht="24" x14ac:dyDescent="0.25">
      <c r="A1055" s="13" t="s">
        <v>4317</v>
      </c>
      <c r="B1055" s="14" t="s">
        <v>1164</v>
      </c>
      <c r="C1055" s="32" t="s">
        <v>2078</v>
      </c>
      <c r="D1055" s="14" t="s">
        <v>2152</v>
      </c>
      <c r="E1055" s="15" t="s">
        <v>2189</v>
      </c>
      <c r="F1055" s="16" t="s">
        <v>4326</v>
      </c>
      <c r="G1055" s="16" t="s">
        <v>4327</v>
      </c>
    </row>
    <row r="1056" spans="1:7" x14ac:dyDescent="0.25">
      <c r="A1056" s="9" t="s">
        <v>4317</v>
      </c>
      <c r="B1056" s="10" t="s">
        <v>1164</v>
      </c>
      <c r="C1056" s="31" t="s">
        <v>132</v>
      </c>
      <c r="D1056" s="10" t="s">
        <v>1167</v>
      </c>
      <c r="E1056" s="11" t="s">
        <v>2189</v>
      </c>
      <c r="F1056" s="12" t="s">
        <v>4328</v>
      </c>
      <c r="G1056" s="12" t="s">
        <v>4329</v>
      </c>
    </row>
    <row r="1057" spans="1:7" x14ac:dyDescent="0.25">
      <c r="A1057" s="13" t="s">
        <v>4317</v>
      </c>
      <c r="B1057" s="14" t="s">
        <v>1164</v>
      </c>
      <c r="C1057" s="32" t="s">
        <v>133</v>
      </c>
      <c r="D1057" s="14" t="s">
        <v>1168</v>
      </c>
      <c r="E1057" s="15" t="s">
        <v>2189</v>
      </c>
      <c r="F1057" s="16" t="s">
        <v>4330</v>
      </c>
      <c r="G1057" s="16" t="s">
        <v>4331</v>
      </c>
    </row>
    <row r="1058" spans="1:7" x14ac:dyDescent="0.25">
      <c r="A1058" s="9" t="s">
        <v>4332</v>
      </c>
      <c r="B1058" s="10" t="s">
        <v>1381</v>
      </c>
      <c r="C1058" s="31" t="s">
        <v>349</v>
      </c>
      <c r="D1058" s="10" t="s">
        <v>1382</v>
      </c>
      <c r="E1058" s="11" t="s">
        <v>2189</v>
      </c>
      <c r="F1058" s="12" t="s">
        <v>4333</v>
      </c>
      <c r="G1058" s="12" t="s">
        <v>4334</v>
      </c>
    </row>
    <row r="1059" spans="1:7" x14ac:dyDescent="0.25">
      <c r="A1059" s="13" t="s">
        <v>4332</v>
      </c>
      <c r="B1059" s="14" t="s">
        <v>1381</v>
      </c>
      <c r="C1059" s="32" t="s">
        <v>350</v>
      </c>
      <c r="D1059" s="14" t="s">
        <v>1383</v>
      </c>
      <c r="E1059" s="15" t="s">
        <v>2189</v>
      </c>
      <c r="F1059" s="16" t="s">
        <v>4335</v>
      </c>
      <c r="G1059" s="16" t="s">
        <v>4336</v>
      </c>
    </row>
    <row r="1060" spans="1:7" x14ac:dyDescent="0.25">
      <c r="A1060" s="9" t="s">
        <v>4332</v>
      </c>
      <c r="B1060" s="10" t="s">
        <v>1381</v>
      </c>
      <c r="C1060" s="31" t="s">
        <v>2083</v>
      </c>
      <c r="D1060" s="10" t="s">
        <v>2156</v>
      </c>
      <c r="E1060" s="11" t="s">
        <v>2189</v>
      </c>
      <c r="F1060" s="12" t="s">
        <v>4337</v>
      </c>
      <c r="G1060" s="12" t="s">
        <v>4338</v>
      </c>
    </row>
    <row r="1061" spans="1:7" ht="24" x14ac:dyDescent="0.25">
      <c r="A1061" s="13" t="s">
        <v>4332</v>
      </c>
      <c r="B1061" s="14" t="s">
        <v>1381</v>
      </c>
      <c r="C1061" s="32" t="s">
        <v>351</v>
      </c>
      <c r="D1061" s="14" t="s">
        <v>1384</v>
      </c>
      <c r="E1061" s="15" t="s">
        <v>2189</v>
      </c>
      <c r="F1061" s="16" t="s">
        <v>4339</v>
      </c>
      <c r="G1061" s="16" t="s">
        <v>4340</v>
      </c>
    </row>
    <row r="1062" spans="1:7" x14ac:dyDescent="0.25">
      <c r="A1062" s="9" t="s">
        <v>4332</v>
      </c>
      <c r="B1062" s="10" t="s">
        <v>1381</v>
      </c>
      <c r="C1062" s="31" t="s">
        <v>2108</v>
      </c>
      <c r="D1062" s="10" t="s">
        <v>2178</v>
      </c>
      <c r="E1062" s="11" t="s">
        <v>2189</v>
      </c>
      <c r="F1062" s="12" t="s">
        <v>4341</v>
      </c>
      <c r="G1062" s="12" t="s">
        <v>4342</v>
      </c>
    </row>
    <row r="1063" spans="1:7" x14ac:dyDescent="0.25">
      <c r="A1063" s="13" t="s">
        <v>4332</v>
      </c>
      <c r="B1063" s="14" t="s">
        <v>1381</v>
      </c>
      <c r="C1063" s="32" t="s">
        <v>352</v>
      </c>
      <c r="D1063" s="14" t="s">
        <v>1385</v>
      </c>
      <c r="E1063" s="15" t="s">
        <v>2189</v>
      </c>
      <c r="F1063" s="16" t="s">
        <v>4343</v>
      </c>
      <c r="G1063" s="16" t="s">
        <v>4344</v>
      </c>
    </row>
    <row r="1064" spans="1:7" ht="24" x14ac:dyDescent="0.25">
      <c r="A1064" s="9" t="s">
        <v>4332</v>
      </c>
      <c r="B1064" s="10" t="s">
        <v>1381</v>
      </c>
      <c r="C1064" s="31" t="s">
        <v>353</v>
      </c>
      <c r="D1064" s="10" t="s">
        <v>1386</v>
      </c>
      <c r="E1064" s="11" t="s">
        <v>2189</v>
      </c>
      <c r="F1064" s="12" t="s">
        <v>4345</v>
      </c>
      <c r="G1064" s="12" t="s">
        <v>4346</v>
      </c>
    </row>
    <row r="1065" spans="1:7" x14ac:dyDescent="0.25">
      <c r="A1065" s="13" t="s">
        <v>4332</v>
      </c>
      <c r="B1065" s="14" t="s">
        <v>1381</v>
      </c>
      <c r="C1065" s="32" t="s">
        <v>2106</v>
      </c>
      <c r="D1065" s="14" t="s">
        <v>2176</v>
      </c>
      <c r="E1065" s="15" t="s">
        <v>2189</v>
      </c>
      <c r="F1065" s="16" t="s">
        <v>4347</v>
      </c>
      <c r="G1065" s="16" t="s">
        <v>4348</v>
      </c>
    </row>
    <row r="1066" spans="1:7" x14ac:dyDescent="0.25">
      <c r="A1066" s="9" t="s">
        <v>4332</v>
      </c>
      <c r="B1066" s="10" t="s">
        <v>1381</v>
      </c>
      <c r="C1066" s="31" t="s">
        <v>354</v>
      </c>
      <c r="D1066" s="10" t="s">
        <v>1387</v>
      </c>
      <c r="E1066" s="11" t="s">
        <v>2189</v>
      </c>
      <c r="F1066" s="12" t="s">
        <v>4349</v>
      </c>
      <c r="G1066" s="12" t="s">
        <v>4350</v>
      </c>
    </row>
    <row r="1067" spans="1:7" ht="24" x14ac:dyDescent="0.25">
      <c r="A1067" s="13" t="s">
        <v>4332</v>
      </c>
      <c r="B1067" s="14" t="s">
        <v>1381</v>
      </c>
      <c r="C1067" s="32" t="s">
        <v>355</v>
      </c>
      <c r="D1067" s="14" t="s">
        <v>1388</v>
      </c>
      <c r="E1067" s="15" t="s">
        <v>2189</v>
      </c>
      <c r="F1067" s="16" t="s">
        <v>4351</v>
      </c>
      <c r="G1067" s="16" t="s">
        <v>4352</v>
      </c>
    </row>
    <row r="1068" spans="1:7" x14ac:dyDescent="0.25">
      <c r="A1068" s="9" t="s">
        <v>4332</v>
      </c>
      <c r="B1068" s="10" t="s">
        <v>1381</v>
      </c>
      <c r="C1068" s="31" t="s">
        <v>356</v>
      </c>
      <c r="D1068" s="10" t="s">
        <v>1389</v>
      </c>
      <c r="E1068" s="11" t="s">
        <v>2189</v>
      </c>
      <c r="F1068" s="12" t="s">
        <v>4353</v>
      </c>
      <c r="G1068" s="12" t="s">
        <v>4354</v>
      </c>
    </row>
    <row r="1069" spans="1:7" x14ac:dyDescent="0.25">
      <c r="A1069" s="13" t="s">
        <v>4332</v>
      </c>
      <c r="B1069" s="14" t="s">
        <v>1381</v>
      </c>
      <c r="C1069" s="32" t="s">
        <v>357</v>
      </c>
      <c r="D1069" s="14" t="s">
        <v>1390</v>
      </c>
      <c r="E1069" s="15" t="s">
        <v>2189</v>
      </c>
      <c r="F1069" s="16" t="s">
        <v>4355</v>
      </c>
      <c r="G1069" s="16" t="s">
        <v>4356</v>
      </c>
    </row>
    <row r="1070" spans="1:7" ht="24" x14ac:dyDescent="0.25">
      <c r="A1070" s="9" t="s">
        <v>4332</v>
      </c>
      <c r="B1070" s="10" t="s">
        <v>1381</v>
      </c>
      <c r="C1070" s="31" t="s">
        <v>2069</v>
      </c>
      <c r="D1070" s="10" t="s">
        <v>1126</v>
      </c>
      <c r="E1070" s="11" t="s">
        <v>2189</v>
      </c>
      <c r="F1070" s="12" t="s">
        <v>4357</v>
      </c>
      <c r="G1070" s="12" t="s">
        <v>4358</v>
      </c>
    </row>
    <row r="1071" spans="1:7" x14ac:dyDescent="0.25">
      <c r="A1071" s="13" t="s">
        <v>4332</v>
      </c>
      <c r="B1071" s="14" t="s">
        <v>1381</v>
      </c>
      <c r="C1071" s="32" t="s">
        <v>358</v>
      </c>
      <c r="D1071" s="14" t="s">
        <v>1391</v>
      </c>
      <c r="E1071" s="15" t="s">
        <v>2189</v>
      </c>
      <c r="F1071" s="16" t="s">
        <v>4359</v>
      </c>
      <c r="G1071" s="16" t="s">
        <v>4360</v>
      </c>
    </row>
    <row r="1072" spans="1:7" ht="36" x14ac:dyDescent="0.25">
      <c r="A1072" s="9" t="s">
        <v>4332</v>
      </c>
      <c r="B1072" s="10" t="s">
        <v>1381</v>
      </c>
      <c r="C1072" s="31" t="s">
        <v>359</v>
      </c>
      <c r="D1072" s="10" t="s">
        <v>1392</v>
      </c>
      <c r="E1072" s="11" t="s">
        <v>2189</v>
      </c>
      <c r="F1072" s="12" t="s">
        <v>4361</v>
      </c>
      <c r="G1072" s="12" t="s">
        <v>4362</v>
      </c>
    </row>
    <row r="1073" spans="1:7" x14ac:dyDescent="0.25">
      <c r="A1073" s="13" t="s">
        <v>4332</v>
      </c>
      <c r="B1073" s="14" t="s">
        <v>1381</v>
      </c>
      <c r="C1073" s="32" t="s">
        <v>2105</v>
      </c>
      <c r="D1073" s="14" t="s">
        <v>2175</v>
      </c>
      <c r="E1073" s="15" t="s">
        <v>2189</v>
      </c>
      <c r="F1073" s="16" t="s">
        <v>4363</v>
      </c>
      <c r="G1073" s="16" t="s">
        <v>4364</v>
      </c>
    </row>
    <row r="1074" spans="1:7" x14ac:dyDescent="0.25">
      <c r="A1074" s="9" t="s">
        <v>4332</v>
      </c>
      <c r="B1074" s="10" t="s">
        <v>1381</v>
      </c>
      <c r="C1074" s="31" t="s">
        <v>360</v>
      </c>
      <c r="D1074" s="10" t="s">
        <v>1393</v>
      </c>
      <c r="E1074" s="11" t="s">
        <v>2189</v>
      </c>
      <c r="F1074" s="12" t="s">
        <v>4365</v>
      </c>
      <c r="G1074" s="12" t="s">
        <v>4366</v>
      </c>
    </row>
    <row r="1075" spans="1:7" x14ac:dyDescent="0.25">
      <c r="A1075" s="13" t="s">
        <v>4332</v>
      </c>
      <c r="B1075" s="14" t="s">
        <v>1381</v>
      </c>
      <c r="C1075" s="32" t="s">
        <v>361</v>
      </c>
      <c r="D1075" s="14" t="s">
        <v>1394</v>
      </c>
      <c r="E1075" s="15" t="s">
        <v>2189</v>
      </c>
      <c r="F1075" s="16" t="s">
        <v>4367</v>
      </c>
      <c r="G1075" s="16" t="s">
        <v>4368</v>
      </c>
    </row>
    <row r="1076" spans="1:7" x14ac:dyDescent="0.25">
      <c r="A1076" s="9" t="s">
        <v>4332</v>
      </c>
      <c r="B1076" s="10" t="s">
        <v>1381</v>
      </c>
      <c r="C1076" s="31" t="s">
        <v>362</v>
      </c>
      <c r="D1076" s="10" t="s">
        <v>1236</v>
      </c>
      <c r="E1076" s="11" t="s">
        <v>2189</v>
      </c>
      <c r="F1076" s="12" t="s">
        <v>4369</v>
      </c>
      <c r="G1076" s="12" t="s">
        <v>4370</v>
      </c>
    </row>
    <row r="1077" spans="1:7" x14ac:dyDescent="0.25">
      <c r="A1077" s="13" t="s">
        <v>4371</v>
      </c>
      <c r="B1077" s="14" t="s">
        <v>1799</v>
      </c>
      <c r="C1077" s="32" t="s">
        <v>804</v>
      </c>
      <c r="D1077" s="14" t="s">
        <v>1800</v>
      </c>
      <c r="E1077" s="15" t="s">
        <v>2189</v>
      </c>
      <c r="F1077" s="16" t="s">
        <v>4372</v>
      </c>
      <c r="G1077" s="16" t="s">
        <v>4373</v>
      </c>
    </row>
    <row r="1078" spans="1:7" x14ac:dyDescent="0.25">
      <c r="A1078" s="9" t="s">
        <v>4371</v>
      </c>
      <c r="B1078" s="10" t="s">
        <v>1799</v>
      </c>
      <c r="C1078" s="31" t="s">
        <v>805</v>
      </c>
      <c r="D1078" s="10" t="s">
        <v>1718</v>
      </c>
      <c r="E1078" s="11" t="s">
        <v>2189</v>
      </c>
      <c r="F1078" s="12" t="s">
        <v>4374</v>
      </c>
      <c r="G1078" s="12" t="s">
        <v>4375</v>
      </c>
    </row>
    <row r="1079" spans="1:7" x14ac:dyDescent="0.25">
      <c r="A1079" s="13" t="s">
        <v>4371</v>
      </c>
      <c r="B1079" s="14" t="s">
        <v>1799</v>
      </c>
      <c r="C1079" s="32" t="s">
        <v>806</v>
      </c>
      <c r="D1079" s="14" t="s">
        <v>1801</v>
      </c>
      <c r="E1079" s="15" t="s">
        <v>2189</v>
      </c>
      <c r="F1079" s="16" t="s">
        <v>4376</v>
      </c>
      <c r="G1079" s="16" t="s">
        <v>4377</v>
      </c>
    </row>
    <row r="1080" spans="1:7" ht="24" x14ac:dyDescent="0.25">
      <c r="A1080" s="9" t="s">
        <v>4371</v>
      </c>
      <c r="B1080" s="10" t="s">
        <v>1799</v>
      </c>
      <c r="C1080" s="31" t="s">
        <v>807</v>
      </c>
      <c r="D1080" s="10" t="s">
        <v>1802</v>
      </c>
      <c r="E1080" s="11" t="s">
        <v>2189</v>
      </c>
      <c r="F1080" s="12" t="s">
        <v>4378</v>
      </c>
      <c r="G1080" s="12" t="s">
        <v>4379</v>
      </c>
    </row>
    <row r="1081" spans="1:7" ht="24" x14ac:dyDescent="0.25">
      <c r="A1081" s="13" t="s">
        <v>4371</v>
      </c>
      <c r="B1081" s="14" t="s">
        <v>1799</v>
      </c>
      <c r="C1081" s="32" t="s">
        <v>808</v>
      </c>
      <c r="D1081" s="14" t="s">
        <v>1803</v>
      </c>
      <c r="E1081" s="15" t="s">
        <v>2189</v>
      </c>
      <c r="F1081" s="16" t="s">
        <v>4380</v>
      </c>
      <c r="G1081" s="16" t="s">
        <v>4381</v>
      </c>
    </row>
    <row r="1082" spans="1:7" ht="24" x14ac:dyDescent="0.25">
      <c r="A1082" s="9" t="s">
        <v>4371</v>
      </c>
      <c r="B1082" s="10" t="s">
        <v>1799</v>
      </c>
      <c r="C1082" s="31" t="s">
        <v>809</v>
      </c>
      <c r="D1082" s="10" t="s">
        <v>1804</v>
      </c>
      <c r="E1082" s="11" t="s">
        <v>2189</v>
      </c>
      <c r="F1082" s="12" t="s">
        <v>4382</v>
      </c>
      <c r="G1082" s="12" t="s">
        <v>4383</v>
      </c>
    </row>
    <row r="1083" spans="1:7" ht="24" x14ac:dyDescent="0.25">
      <c r="A1083" s="13" t="s">
        <v>4371</v>
      </c>
      <c r="B1083" s="14" t="s">
        <v>1799</v>
      </c>
      <c r="C1083" s="32" t="s">
        <v>810</v>
      </c>
      <c r="D1083" s="14" t="s">
        <v>1805</v>
      </c>
      <c r="E1083" s="15" t="s">
        <v>2189</v>
      </c>
      <c r="F1083" s="16" t="s">
        <v>4384</v>
      </c>
      <c r="G1083" s="16" t="s">
        <v>4385</v>
      </c>
    </row>
    <row r="1084" spans="1:7" x14ac:dyDescent="0.25">
      <c r="A1084" s="9" t="s">
        <v>4371</v>
      </c>
      <c r="B1084" s="10" t="s">
        <v>1799</v>
      </c>
      <c r="C1084" s="31" t="s">
        <v>811</v>
      </c>
      <c r="D1084" s="10" t="s">
        <v>1806</v>
      </c>
      <c r="E1084" s="11" t="s">
        <v>2189</v>
      </c>
      <c r="F1084" s="12" t="s">
        <v>4386</v>
      </c>
      <c r="G1084" s="12" t="s">
        <v>4387</v>
      </c>
    </row>
    <row r="1085" spans="1:7" ht="24" x14ac:dyDescent="0.25">
      <c r="A1085" s="13" t="s">
        <v>4371</v>
      </c>
      <c r="B1085" s="14" t="s">
        <v>1799</v>
      </c>
      <c r="C1085" s="32" t="s">
        <v>2066</v>
      </c>
      <c r="D1085" s="14" t="s">
        <v>1131</v>
      </c>
      <c r="E1085" s="15" t="s">
        <v>2189</v>
      </c>
      <c r="F1085" s="16" t="s">
        <v>4388</v>
      </c>
      <c r="G1085" s="16" t="s">
        <v>4389</v>
      </c>
    </row>
    <row r="1086" spans="1:7" x14ac:dyDescent="0.25">
      <c r="A1086" s="9" t="s">
        <v>4371</v>
      </c>
      <c r="B1086" s="10" t="s">
        <v>1799</v>
      </c>
      <c r="C1086" s="31" t="s">
        <v>812</v>
      </c>
      <c r="D1086" s="10" t="s">
        <v>1807</v>
      </c>
      <c r="E1086" s="11" t="s">
        <v>2189</v>
      </c>
      <c r="F1086" s="12" t="s">
        <v>4390</v>
      </c>
      <c r="G1086" s="12" t="s">
        <v>4391</v>
      </c>
    </row>
    <row r="1087" spans="1:7" x14ac:dyDescent="0.25">
      <c r="A1087" s="13" t="s">
        <v>4371</v>
      </c>
      <c r="B1087" s="14" t="s">
        <v>1799</v>
      </c>
      <c r="C1087" s="32" t="s">
        <v>813</v>
      </c>
      <c r="D1087" s="14" t="s">
        <v>1792</v>
      </c>
      <c r="E1087" s="15" t="s">
        <v>2189</v>
      </c>
      <c r="F1087" s="16" t="s">
        <v>4392</v>
      </c>
      <c r="G1087" s="16" t="s">
        <v>4393</v>
      </c>
    </row>
    <row r="1088" spans="1:7" ht="24" x14ac:dyDescent="0.25">
      <c r="A1088" s="9" t="s">
        <v>4371</v>
      </c>
      <c r="B1088" s="10" t="s">
        <v>1799</v>
      </c>
      <c r="C1088" s="31" t="s">
        <v>814</v>
      </c>
      <c r="D1088" s="10" t="s">
        <v>1808</v>
      </c>
      <c r="E1088" s="11" t="s">
        <v>2189</v>
      </c>
      <c r="F1088" s="12" t="s">
        <v>4394</v>
      </c>
      <c r="G1088" s="12" t="s">
        <v>4395</v>
      </c>
    </row>
    <row r="1089" spans="1:7" ht="24" x14ac:dyDescent="0.25">
      <c r="A1089" s="13" t="s">
        <v>4371</v>
      </c>
      <c r="B1089" s="14" t="s">
        <v>1799</v>
      </c>
      <c r="C1089" s="32" t="s">
        <v>815</v>
      </c>
      <c r="D1089" s="14" t="s">
        <v>1809</v>
      </c>
      <c r="E1089" s="15" t="s">
        <v>2189</v>
      </c>
      <c r="F1089" s="16" t="s">
        <v>4396</v>
      </c>
      <c r="G1089" s="16" t="s">
        <v>4397</v>
      </c>
    </row>
    <row r="1090" spans="1:7" ht="72" x14ac:dyDescent="0.25">
      <c r="A1090" s="9" t="s">
        <v>4398</v>
      </c>
      <c r="B1090" s="10" t="s">
        <v>2009</v>
      </c>
      <c r="C1090" s="31" t="s">
        <v>134</v>
      </c>
      <c r="D1090" s="10" t="s">
        <v>1169</v>
      </c>
      <c r="E1090" s="11" t="s">
        <v>4399</v>
      </c>
      <c r="F1090" s="12" t="s">
        <v>4400</v>
      </c>
      <c r="G1090" s="12" t="s">
        <v>4401</v>
      </c>
    </row>
    <row r="1091" spans="1:7" ht="72" x14ac:dyDescent="0.25">
      <c r="A1091" s="13" t="s">
        <v>4398</v>
      </c>
      <c r="B1091" s="14" t="s">
        <v>2009</v>
      </c>
      <c r="C1091" s="32" t="s">
        <v>135</v>
      </c>
      <c r="D1091" s="14" t="s">
        <v>1170</v>
      </c>
      <c r="E1091" s="15" t="s">
        <v>2189</v>
      </c>
      <c r="F1091" s="16" t="s">
        <v>4402</v>
      </c>
      <c r="G1091" s="16" t="s">
        <v>4403</v>
      </c>
    </row>
    <row r="1092" spans="1:7" x14ac:dyDescent="0.25">
      <c r="A1092" s="9" t="s">
        <v>4404</v>
      </c>
      <c r="B1092" s="10" t="s">
        <v>1036</v>
      </c>
      <c r="C1092" s="31" t="s">
        <v>0</v>
      </c>
      <c r="D1092" s="10" t="s">
        <v>1037</v>
      </c>
      <c r="E1092" s="11" t="s">
        <v>2189</v>
      </c>
      <c r="F1092" s="12" t="s">
        <v>4405</v>
      </c>
      <c r="G1092" s="12" t="s">
        <v>4406</v>
      </c>
    </row>
    <row r="1093" spans="1:7" ht="36" x14ac:dyDescent="0.25">
      <c r="A1093" s="17" t="s">
        <v>4404</v>
      </c>
      <c r="B1093" s="18" t="s">
        <v>1036</v>
      </c>
      <c r="C1093" s="33" t="s">
        <v>2043</v>
      </c>
      <c r="D1093" s="18" t="s">
        <v>2121</v>
      </c>
      <c r="E1093" s="19" t="s">
        <v>4407</v>
      </c>
      <c r="F1093" s="20" t="s">
        <v>4408</v>
      </c>
      <c r="G1093" s="20" t="s">
        <v>4409</v>
      </c>
    </row>
    <row r="1094" spans="1:7" ht="36" x14ac:dyDescent="0.25">
      <c r="A1094" s="21" t="s">
        <v>4404</v>
      </c>
      <c r="B1094" s="22" t="s">
        <v>1036</v>
      </c>
      <c r="C1094" s="34" t="s">
        <v>1</v>
      </c>
      <c r="D1094" s="22" t="s">
        <v>1038</v>
      </c>
      <c r="E1094" s="23" t="s">
        <v>4407</v>
      </c>
      <c r="F1094" s="24" t="s">
        <v>4410</v>
      </c>
      <c r="G1094" s="24" t="s">
        <v>4411</v>
      </c>
    </row>
    <row r="1095" spans="1:7" ht="36" x14ac:dyDescent="0.25">
      <c r="A1095" s="17" t="s">
        <v>4404</v>
      </c>
      <c r="B1095" s="18" t="s">
        <v>1036</v>
      </c>
      <c r="C1095" s="33" t="s">
        <v>2</v>
      </c>
      <c r="D1095" s="18" t="s">
        <v>1039</v>
      </c>
      <c r="E1095" s="19" t="s">
        <v>4407</v>
      </c>
      <c r="F1095" s="20" t="s">
        <v>4412</v>
      </c>
      <c r="G1095" s="20" t="s">
        <v>4413</v>
      </c>
    </row>
    <row r="1096" spans="1:7" ht="36" x14ac:dyDescent="0.25">
      <c r="A1096" s="21" t="s">
        <v>4404</v>
      </c>
      <c r="B1096" s="22" t="s">
        <v>1036</v>
      </c>
      <c r="C1096" s="34" t="s">
        <v>2044</v>
      </c>
      <c r="D1096" s="22" t="s">
        <v>1981</v>
      </c>
      <c r="E1096" s="23" t="s">
        <v>4407</v>
      </c>
      <c r="F1096" s="24" t="s">
        <v>4414</v>
      </c>
      <c r="G1096" s="24" t="s">
        <v>4415</v>
      </c>
    </row>
    <row r="1097" spans="1:7" ht="36" x14ac:dyDescent="0.25">
      <c r="A1097" s="17" t="s">
        <v>4404</v>
      </c>
      <c r="B1097" s="18" t="s">
        <v>1036</v>
      </c>
      <c r="C1097" s="33" t="s">
        <v>2048</v>
      </c>
      <c r="D1097" s="18" t="s">
        <v>2125</v>
      </c>
      <c r="E1097" s="19" t="s">
        <v>4407</v>
      </c>
      <c r="F1097" s="20" t="s">
        <v>4416</v>
      </c>
      <c r="G1097" s="20" t="s">
        <v>4417</v>
      </c>
    </row>
    <row r="1098" spans="1:7" ht="36" x14ac:dyDescent="0.25">
      <c r="A1098" s="21" t="s">
        <v>4404</v>
      </c>
      <c r="B1098" s="22" t="s">
        <v>1036</v>
      </c>
      <c r="C1098" s="34" t="s">
        <v>2046</v>
      </c>
      <c r="D1098" s="22" t="s">
        <v>2123</v>
      </c>
      <c r="E1098" s="23" t="s">
        <v>4407</v>
      </c>
      <c r="F1098" s="24" t="s">
        <v>4418</v>
      </c>
      <c r="G1098" s="24" t="s">
        <v>4419</v>
      </c>
    </row>
    <row r="1099" spans="1:7" ht="36" x14ac:dyDescent="0.25">
      <c r="A1099" s="17" t="s">
        <v>4404</v>
      </c>
      <c r="B1099" s="18" t="s">
        <v>1036</v>
      </c>
      <c r="C1099" s="33" t="s">
        <v>2042</v>
      </c>
      <c r="D1099" s="18" t="s">
        <v>2120</v>
      </c>
      <c r="E1099" s="19" t="s">
        <v>4407</v>
      </c>
      <c r="F1099" s="20" t="s">
        <v>4420</v>
      </c>
      <c r="G1099" s="20" t="s">
        <v>4421</v>
      </c>
    </row>
    <row r="1100" spans="1:7" ht="24" x14ac:dyDescent="0.25">
      <c r="A1100" s="21" t="s">
        <v>4404</v>
      </c>
      <c r="B1100" s="22" t="s">
        <v>1036</v>
      </c>
      <c r="C1100" s="34" t="s">
        <v>3</v>
      </c>
      <c r="D1100" s="22" t="s">
        <v>1040</v>
      </c>
      <c r="E1100" s="23" t="s">
        <v>2189</v>
      </c>
      <c r="F1100" s="24" t="s">
        <v>4422</v>
      </c>
      <c r="G1100" s="24" t="s">
        <v>4423</v>
      </c>
    </row>
    <row r="1101" spans="1:7" ht="36" x14ac:dyDescent="0.25">
      <c r="A1101" s="17" t="s">
        <v>4404</v>
      </c>
      <c r="B1101" s="18" t="s">
        <v>1036</v>
      </c>
      <c r="C1101" s="33" t="s">
        <v>4</v>
      </c>
      <c r="D1101" s="18" t="s">
        <v>1041</v>
      </c>
      <c r="E1101" s="19" t="s">
        <v>4407</v>
      </c>
      <c r="F1101" s="20" t="s">
        <v>4424</v>
      </c>
      <c r="G1101" s="20" t="s">
        <v>4425</v>
      </c>
    </row>
    <row r="1102" spans="1:7" ht="36" x14ac:dyDescent="0.25">
      <c r="A1102" s="21" t="s">
        <v>4404</v>
      </c>
      <c r="B1102" s="22" t="s">
        <v>1036</v>
      </c>
      <c r="C1102" s="34" t="s">
        <v>5</v>
      </c>
      <c r="D1102" s="22" t="s">
        <v>1042</v>
      </c>
      <c r="E1102" s="23" t="s">
        <v>4407</v>
      </c>
      <c r="F1102" s="24" t="s">
        <v>4426</v>
      </c>
      <c r="G1102" s="24" t="s">
        <v>4427</v>
      </c>
    </row>
    <row r="1103" spans="1:7" x14ac:dyDescent="0.25">
      <c r="A1103" s="17" t="s">
        <v>4428</v>
      </c>
      <c r="B1103" s="18" t="s">
        <v>1607</v>
      </c>
      <c r="C1103" s="33" t="s">
        <v>587</v>
      </c>
      <c r="D1103" s="18" t="s">
        <v>1608</v>
      </c>
      <c r="E1103" s="19" t="s">
        <v>2189</v>
      </c>
      <c r="F1103" s="20" t="s">
        <v>4429</v>
      </c>
      <c r="G1103" s="20" t="s">
        <v>4430</v>
      </c>
    </row>
    <row r="1104" spans="1:7" ht="24" x14ac:dyDescent="0.25">
      <c r="A1104" s="21" t="s">
        <v>4428</v>
      </c>
      <c r="B1104" s="22" t="s">
        <v>1607</v>
      </c>
      <c r="C1104" s="34" t="s">
        <v>2095</v>
      </c>
      <c r="D1104" s="22" t="s">
        <v>2165</v>
      </c>
      <c r="E1104" s="23" t="s">
        <v>2189</v>
      </c>
      <c r="F1104" s="24" t="s">
        <v>4431</v>
      </c>
      <c r="G1104" s="24" t="s">
        <v>4432</v>
      </c>
    </row>
    <row r="1105" spans="1:7" ht="36" x14ac:dyDescent="0.25">
      <c r="A1105" s="17" t="s">
        <v>4428</v>
      </c>
      <c r="B1105" s="18" t="s">
        <v>1607</v>
      </c>
      <c r="C1105" s="33" t="s">
        <v>589</v>
      </c>
      <c r="D1105" s="18" t="s">
        <v>1609</v>
      </c>
      <c r="E1105" s="19" t="s">
        <v>4407</v>
      </c>
      <c r="F1105" s="20" t="s">
        <v>4433</v>
      </c>
      <c r="G1105" s="20" t="s">
        <v>4434</v>
      </c>
    </row>
    <row r="1106" spans="1:7" ht="36" x14ac:dyDescent="0.25">
      <c r="A1106" s="21" t="s">
        <v>4428</v>
      </c>
      <c r="B1106" s="22" t="s">
        <v>1607</v>
      </c>
      <c r="C1106" s="34" t="s">
        <v>590</v>
      </c>
      <c r="D1106" s="22" t="s">
        <v>1184</v>
      </c>
      <c r="E1106" s="23" t="s">
        <v>4407</v>
      </c>
      <c r="F1106" s="24" t="s">
        <v>4435</v>
      </c>
      <c r="G1106" s="24" t="s">
        <v>4436</v>
      </c>
    </row>
    <row r="1107" spans="1:7" ht="36" x14ac:dyDescent="0.25">
      <c r="A1107" s="17" t="s">
        <v>4428</v>
      </c>
      <c r="B1107" s="18" t="s">
        <v>1607</v>
      </c>
      <c r="C1107" s="33" t="s">
        <v>2053</v>
      </c>
      <c r="D1107" s="18" t="s">
        <v>2130</v>
      </c>
      <c r="E1107" s="19" t="s">
        <v>4407</v>
      </c>
      <c r="F1107" s="20" t="s">
        <v>4437</v>
      </c>
      <c r="G1107" s="20" t="s">
        <v>4438</v>
      </c>
    </row>
    <row r="1108" spans="1:7" ht="36" x14ac:dyDescent="0.25">
      <c r="A1108" s="21" t="s">
        <v>4428</v>
      </c>
      <c r="B1108" s="22" t="s">
        <v>1607</v>
      </c>
      <c r="C1108" s="34" t="s">
        <v>2052</v>
      </c>
      <c r="D1108" s="22" t="s">
        <v>2129</v>
      </c>
      <c r="E1108" s="23" t="s">
        <v>4407</v>
      </c>
      <c r="F1108" s="24" t="s">
        <v>4439</v>
      </c>
      <c r="G1108" s="24" t="s">
        <v>4440</v>
      </c>
    </row>
    <row r="1109" spans="1:7" ht="36" x14ac:dyDescent="0.25">
      <c r="A1109" s="17" t="s">
        <v>4428</v>
      </c>
      <c r="B1109" s="18" t="s">
        <v>1607</v>
      </c>
      <c r="C1109" s="33" t="s">
        <v>2051</v>
      </c>
      <c r="D1109" s="18" t="s">
        <v>2128</v>
      </c>
      <c r="E1109" s="19" t="s">
        <v>4407</v>
      </c>
      <c r="F1109" s="20" t="s">
        <v>4441</v>
      </c>
      <c r="G1109" s="20" t="s">
        <v>4442</v>
      </c>
    </row>
    <row r="1110" spans="1:7" ht="36" x14ac:dyDescent="0.25">
      <c r="A1110" s="21" t="s">
        <v>4428</v>
      </c>
      <c r="B1110" s="22" t="s">
        <v>1607</v>
      </c>
      <c r="C1110" s="34" t="s">
        <v>2047</v>
      </c>
      <c r="D1110" s="22" t="s">
        <v>2124</v>
      </c>
      <c r="E1110" s="23" t="s">
        <v>4407</v>
      </c>
      <c r="F1110" s="24" t="s">
        <v>4443</v>
      </c>
      <c r="G1110" s="24" t="s">
        <v>4444</v>
      </c>
    </row>
    <row r="1111" spans="1:7" ht="36" x14ac:dyDescent="0.25">
      <c r="A1111" s="17" t="s">
        <v>4445</v>
      </c>
      <c r="B1111" s="18" t="s">
        <v>1610</v>
      </c>
      <c r="C1111" s="33" t="s">
        <v>591</v>
      </c>
      <c r="D1111" s="18" t="s">
        <v>1611</v>
      </c>
      <c r="E1111" s="19" t="s">
        <v>2189</v>
      </c>
      <c r="F1111" s="20" t="s">
        <v>4446</v>
      </c>
      <c r="G1111" s="20" t="s">
        <v>4447</v>
      </c>
    </row>
    <row r="1112" spans="1:7" x14ac:dyDescent="0.25">
      <c r="A1112" s="21" t="s">
        <v>4445</v>
      </c>
      <c r="B1112" s="22" t="s">
        <v>1610</v>
      </c>
      <c r="C1112" s="34" t="s">
        <v>592</v>
      </c>
      <c r="D1112" s="22" t="s">
        <v>1201</v>
      </c>
      <c r="E1112" s="23" t="s">
        <v>2189</v>
      </c>
      <c r="F1112" s="24" t="s">
        <v>4448</v>
      </c>
      <c r="G1112" s="24" t="s">
        <v>4449</v>
      </c>
    </row>
    <row r="1113" spans="1:7" ht="24" x14ac:dyDescent="0.25">
      <c r="A1113" s="17" t="s">
        <v>4445</v>
      </c>
      <c r="B1113" s="18" t="s">
        <v>1610</v>
      </c>
      <c r="C1113" s="33" t="s">
        <v>593</v>
      </c>
      <c r="D1113" s="18" t="s">
        <v>1612</v>
      </c>
      <c r="E1113" s="19" t="s">
        <v>2189</v>
      </c>
      <c r="F1113" s="20" t="s">
        <v>4450</v>
      </c>
      <c r="G1113" s="20" t="s">
        <v>4451</v>
      </c>
    </row>
    <row r="1114" spans="1:7" ht="24" x14ac:dyDescent="0.25">
      <c r="A1114" s="21" t="s">
        <v>4445</v>
      </c>
      <c r="B1114" s="22" t="s">
        <v>1610</v>
      </c>
      <c r="C1114" s="34" t="s">
        <v>594</v>
      </c>
      <c r="D1114" s="22" t="s">
        <v>1277</v>
      </c>
      <c r="E1114" s="23" t="s">
        <v>2189</v>
      </c>
      <c r="F1114" s="24" t="s">
        <v>4452</v>
      </c>
      <c r="G1114" s="24" t="s">
        <v>4453</v>
      </c>
    </row>
    <row r="1115" spans="1:7" x14ac:dyDescent="0.25">
      <c r="A1115" s="17" t="s">
        <v>4454</v>
      </c>
      <c r="B1115" s="18" t="s">
        <v>1997</v>
      </c>
      <c r="C1115" s="33" t="s">
        <v>1028</v>
      </c>
      <c r="D1115" s="18" t="s">
        <v>1998</v>
      </c>
      <c r="E1115" s="19" t="s">
        <v>2189</v>
      </c>
      <c r="F1115" s="20" t="s">
        <v>4455</v>
      </c>
      <c r="G1115" s="20" t="s">
        <v>4456</v>
      </c>
    </row>
    <row r="1116" spans="1:7" x14ac:dyDescent="0.25">
      <c r="A1116" s="21" t="s">
        <v>4454</v>
      </c>
      <c r="B1116" s="22" t="s">
        <v>1997</v>
      </c>
      <c r="C1116" s="34" t="s">
        <v>1029</v>
      </c>
      <c r="D1116" s="22" t="s">
        <v>1999</v>
      </c>
      <c r="E1116" s="23" t="s">
        <v>2189</v>
      </c>
      <c r="F1116" s="24" t="s">
        <v>4457</v>
      </c>
      <c r="G1116" s="24" t="s">
        <v>4458</v>
      </c>
    </row>
    <row r="1117" spans="1:7" ht="36" x14ac:dyDescent="0.25">
      <c r="A1117" s="17" t="s">
        <v>4454</v>
      </c>
      <c r="B1117" s="18" t="s">
        <v>1997</v>
      </c>
      <c r="C1117" s="33" t="s">
        <v>2055</v>
      </c>
      <c r="D1117" s="18" t="s">
        <v>2132</v>
      </c>
      <c r="E1117" s="19" t="s">
        <v>4407</v>
      </c>
      <c r="F1117" s="20" t="s">
        <v>4459</v>
      </c>
      <c r="G1117" s="20" t="s">
        <v>4460</v>
      </c>
    </row>
    <row r="1118" spans="1:7" x14ac:dyDescent="0.25">
      <c r="A1118" s="21" t="s">
        <v>4454</v>
      </c>
      <c r="B1118" s="22" t="s">
        <v>1997</v>
      </c>
      <c r="C1118" s="34" t="s">
        <v>1030</v>
      </c>
      <c r="D1118" s="22" t="s">
        <v>2000</v>
      </c>
      <c r="E1118" s="23" t="s">
        <v>2189</v>
      </c>
      <c r="F1118" s="24" t="s">
        <v>4461</v>
      </c>
      <c r="G1118" s="24" t="s">
        <v>4462</v>
      </c>
    </row>
    <row r="1119" spans="1:7" ht="36" x14ac:dyDescent="0.25">
      <c r="A1119" s="17" t="s">
        <v>4454</v>
      </c>
      <c r="B1119" s="18" t="s">
        <v>1997</v>
      </c>
      <c r="C1119" s="33" t="s">
        <v>2064</v>
      </c>
      <c r="D1119" s="18" t="s">
        <v>2141</v>
      </c>
      <c r="E1119" s="19" t="s">
        <v>4407</v>
      </c>
      <c r="F1119" s="20" t="s">
        <v>4463</v>
      </c>
      <c r="G1119" s="20" t="s">
        <v>4464</v>
      </c>
    </row>
    <row r="1120" spans="1:7" ht="36" x14ac:dyDescent="0.25">
      <c r="A1120" s="21" t="s">
        <v>4454</v>
      </c>
      <c r="B1120" s="22" t="s">
        <v>1997</v>
      </c>
      <c r="C1120" s="34" t="s">
        <v>1031</v>
      </c>
      <c r="D1120" s="22" t="s">
        <v>2001</v>
      </c>
      <c r="E1120" s="23" t="s">
        <v>4407</v>
      </c>
      <c r="F1120" s="24" t="s">
        <v>4465</v>
      </c>
      <c r="G1120" s="24" t="s">
        <v>4466</v>
      </c>
    </row>
    <row r="1121" spans="1:7" ht="24" x14ac:dyDescent="0.25">
      <c r="A1121" s="13" t="s">
        <v>4467</v>
      </c>
      <c r="B1121" s="14" t="s">
        <v>2002</v>
      </c>
      <c r="C1121" s="32" t="s">
        <v>1032</v>
      </c>
      <c r="D1121" s="14" t="s">
        <v>2003</v>
      </c>
      <c r="E1121" s="15" t="s">
        <v>2189</v>
      </c>
      <c r="F1121" s="16" t="s">
        <v>4468</v>
      </c>
      <c r="G1121" s="16" t="s">
        <v>4469</v>
      </c>
    </row>
    <row r="1122" spans="1:7" ht="24" x14ac:dyDescent="0.25">
      <c r="A1122" s="9" t="s">
        <v>4467</v>
      </c>
      <c r="B1122" s="10" t="s">
        <v>2002</v>
      </c>
      <c r="C1122" s="31" t="s">
        <v>1033</v>
      </c>
      <c r="D1122" s="10" t="s">
        <v>2004</v>
      </c>
      <c r="E1122" s="11" t="s">
        <v>2189</v>
      </c>
      <c r="F1122" s="12" t="s">
        <v>4470</v>
      </c>
      <c r="G1122" s="12" t="s">
        <v>4471</v>
      </c>
    </row>
    <row r="1123" spans="1:7" ht="24" x14ac:dyDescent="0.25">
      <c r="A1123" s="13" t="s">
        <v>4467</v>
      </c>
      <c r="B1123" s="14" t="s">
        <v>2002</v>
      </c>
      <c r="C1123" s="32" t="s">
        <v>2117</v>
      </c>
      <c r="D1123" s="14" t="s">
        <v>2186</v>
      </c>
      <c r="E1123" s="15" t="s">
        <v>2189</v>
      </c>
      <c r="F1123" s="16" t="s">
        <v>4472</v>
      </c>
      <c r="G1123" s="16" t="s">
        <v>4473</v>
      </c>
    </row>
    <row r="1124" spans="1:7" x14ac:dyDescent="0.25">
      <c r="A1124" s="9" t="s">
        <v>4467</v>
      </c>
      <c r="B1124" s="10" t="s">
        <v>2002</v>
      </c>
      <c r="C1124" s="31" t="s">
        <v>1034</v>
      </c>
      <c r="D1124" s="10" t="s">
        <v>2005</v>
      </c>
      <c r="E1124" s="11" t="s">
        <v>2189</v>
      </c>
      <c r="F1124" s="25" t="s">
        <v>4474</v>
      </c>
      <c r="G1124" s="26" t="s">
        <v>4475</v>
      </c>
    </row>
  </sheetData>
  <mergeCells count="3">
    <mergeCell ref="A1:B1"/>
    <mergeCell ref="E1:E2"/>
    <mergeCell ref="F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DEC8E09139C740989BCBD4C357A0CC" ma:contentTypeVersion="19" ma:contentTypeDescription="Create a new document." ma:contentTypeScope="" ma:versionID="9e9efa733b50d5b7d5675fb82a8a1580">
  <xsd:schema xmlns:xsd="http://www.w3.org/2001/XMLSchema" xmlns:xs="http://www.w3.org/2001/XMLSchema" xmlns:p="http://schemas.microsoft.com/office/2006/metadata/properties" xmlns:ns2="94123ac0-bc49-4844-b4d9-cf6d67fc439f" xmlns:ns3="7a6c8e4c-0868-4c46-a1e8-f3dda505f73b" targetNamespace="http://schemas.microsoft.com/office/2006/metadata/properties" ma:root="true" ma:fieldsID="9353c4eb0779ff825728386227621d44" ns2:_="" ns3:_="">
    <xsd:import namespace="94123ac0-bc49-4844-b4d9-cf6d67fc439f"/>
    <xsd:import namespace="7a6c8e4c-0868-4c46-a1e8-f3dda505f7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123ac0-bc49-4844-b4d9-cf6d67fc43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10564c4-16b2-41ba-be43-7afde781b0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c8e4c-0868-4c46-a1e8-f3dda505f73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9c8b8f3-c2ab-4a36-940f-6409b2dad9dd}" ma:internalName="TaxCatchAll" ma:showField="CatchAllData" ma:web="7a6c8e4c-0868-4c46-a1e8-f3dda505f7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94123ac0-bc49-4844-b4d9-cf6d67fc439f" xsi:nil="true"/>
    <lcf76f155ced4ddcb4097134ff3c332f xmlns="94123ac0-bc49-4844-b4d9-cf6d67fc439f">
      <Terms xmlns="http://schemas.microsoft.com/office/infopath/2007/PartnerControls"/>
    </lcf76f155ced4ddcb4097134ff3c332f>
    <TaxCatchAll xmlns="7a6c8e4c-0868-4c46-a1e8-f3dda505f73b" xsi:nil="true"/>
  </documentManagement>
</p:properties>
</file>

<file path=customXml/itemProps1.xml><?xml version="1.0" encoding="utf-8"?>
<ds:datastoreItem xmlns:ds="http://schemas.openxmlformats.org/officeDocument/2006/customXml" ds:itemID="{894C8342-DCD9-4AC0-B3EA-99ED446410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C2C77C-6382-45A8-A6C9-4372D355BB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123ac0-bc49-4844-b4d9-cf6d67fc439f"/>
    <ds:schemaRef ds:uri="7a6c8e4c-0868-4c46-a1e8-f3dda505f7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6AEA7E-26DF-4EC5-8549-1840B164AB4E}">
  <ds:schemaRefs>
    <ds:schemaRef ds:uri="http://schemas.microsoft.com/office/2006/metadata/properties"/>
    <ds:schemaRef ds:uri="http://schemas.microsoft.com/office/infopath/2007/PartnerControls"/>
    <ds:schemaRef ds:uri="94123ac0-bc49-4844-b4d9-cf6d67fc439f"/>
    <ds:schemaRef ds:uri="7a6c8e4c-0868-4c46-a1e8-f3dda505f73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Kristel Julhie Hurtado Obregón</dc:creator>
  <cp:lastModifiedBy>L Alejandro Jiménez Avendaño</cp:lastModifiedBy>
  <dcterms:created xsi:type="dcterms:W3CDTF">2020-09-22T18:31:48Z</dcterms:created>
  <dcterms:modified xsi:type="dcterms:W3CDTF">2025-11-04T00:18:52Z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12f99b04-47dc-4a69-b671-1fa8e8aad7b4</vt:lpwstr>
  </property>
  <property fmtid="{D5CDD505-2E9C-101B-9397-08002B2CF9AE}" pid="3" name="ContentTypeId">
    <vt:lpwstr>0x01010085DEC8E09139C740989BCBD4C357A0CC</vt:lpwstr>
  </property>
</Properties>
</file>